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esos finales" sheetId="2" state="visible" r:id="rId2"/>
    <sheet name="Pesos iniciales" sheetId="3" state="visible" r:id="rId3"/>
    <sheet name="Comprobacion" sheetId="4" state="visible" r:id="rId4"/>
    <sheet name="Histori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E+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1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1" t="inlineStr">
        <is>
          <t>Red neuronal desde cero en TensorFlow, clasificación de Iris</t>
        </is>
      </c>
    </row>
    <row r="3">
      <c r="A3" s="2" t="inlineStr">
        <is>
          <t>Autor</t>
        </is>
      </c>
      <c r="B3" s="3" t="inlineStr">
        <is>
          <t>Daniel Alfredo Barreras Meraz (A01254805)</t>
        </is>
      </c>
    </row>
    <row r="4">
      <c r="A4" s="2" t="inlineStr">
        <is>
          <t>Curso</t>
        </is>
      </c>
      <c r="B4" s="3" t="inlineStr">
        <is>
          <t>TC3002B.570 Desarrollo de aplicaciones avanzadas de ciencias computacionales</t>
        </is>
      </c>
    </row>
    <row r="5">
      <c r="A5" s="2" t="inlineStr">
        <is>
          <t>Arquitectura</t>
        </is>
      </c>
      <c r="B5" s="3" t="inlineStr">
        <is>
          <t>4 entradas → 8 ocultas (tanh) → 3 salidas (softmax)</t>
        </is>
      </c>
    </row>
    <row r="6">
      <c r="A6" s="2" t="inlineStr">
        <is>
          <t>Pérdida</t>
        </is>
      </c>
      <c r="B6" s="3" t="inlineStr">
        <is>
          <t>Entropía cruzada</t>
        </is>
      </c>
    </row>
    <row r="7">
      <c r="A7" s="2" t="inlineStr">
        <is>
          <t>Optimización</t>
        </is>
      </c>
      <c r="B7" s="3" t="inlineStr">
        <is>
          <t>Descenso de gradiente con lote completo, tasa 0.1, 2000 épocas</t>
        </is>
      </c>
    </row>
    <row r="8">
      <c r="A8" s="2" t="inlineStr">
        <is>
          <t>Inicialización</t>
        </is>
      </c>
      <c r="B8" s="3" t="inlineStr">
        <is>
          <t>Glorot uniforme, semilla 42 (b = 0)</t>
        </is>
      </c>
    </row>
    <row r="9">
      <c r="A9" s="2" t="inlineStr">
        <is>
          <t>Datos</t>
        </is>
      </c>
      <c r="B9" s="3" t="inlineStr">
        <is>
          <t>Iris (UCI), 150 flores; 120 entrenamiento, 30 prueba</t>
        </is>
      </c>
    </row>
    <row r="10">
      <c r="A10" s="2" t="inlineStr">
        <is>
          <t>Exactitud entrenamiento (Python)</t>
        </is>
      </c>
      <c r="B10" s="4" t="n">
        <v>0.9833333333333333</v>
      </c>
    </row>
    <row r="11">
      <c r="A11" s="2" t="inlineStr">
        <is>
          <t>Exactitud prueba (Python)</t>
        </is>
      </c>
      <c r="B11" s="4" t="n">
        <v>1</v>
      </c>
    </row>
    <row r="12">
      <c r="A12" s="2" t="inlineStr">
        <is>
          <t>Pérdida final</t>
        </is>
      </c>
      <c r="B12" s="5" t="n">
        <v>0.05110698913008346</v>
      </c>
    </row>
    <row r="13">
      <c r="A13" s="2" t="inlineStr"/>
      <c r="B13" s="3" t="inlineStr"/>
    </row>
    <row r="14">
      <c r="A14" s="2" t="inlineStr">
        <is>
          <t>Hojas</t>
        </is>
      </c>
      <c r="B14" s="3" t="inlineStr"/>
    </row>
    <row r="15">
      <c r="A15" s="2" t="inlineStr">
        <is>
          <t>Pesos finales</t>
        </is>
      </c>
      <c r="B15" s="3" t="inlineStr">
        <is>
          <t>W1, b1, W2, b2 después del entrenamiento, más la media y desviación usadas para estandarizar</t>
        </is>
      </c>
    </row>
    <row r="16">
      <c r="A16" s="2" t="inlineStr">
        <is>
          <t>Pesos iniciales</t>
        </is>
      </c>
      <c r="B16" s="3" t="inlineStr">
        <is>
          <t>Los mismos parámetros antes del entrenamiento</t>
        </is>
      </c>
    </row>
    <row r="17">
      <c r="A17" s="2" t="inlineStr">
        <is>
          <t>Comprobacion</t>
        </is>
      </c>
      <c r="B17" s="3" t="inlineStr">
        <is>
          <t>Recalcula las 150 predicciones con fórmulas que leen 'Pesos finales' y las compara con Python</t>
        </is>
      </c>
    </row>
    <row r="18">
      <c r="A18" s="2" t="inlineStr">
        <is>
          <t>Historial</t>
        </is>
      </c>
      <c r="B18" s="3" t="inlineStr">
        <is>
          <t>Pérdida de entrenamiento por época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Pesos finales</t>
        </is>
      </c>
    </row>
    <row r="3">
      <c r="A3" s="2" t="inlineStr">
        <is>
          <t>W1 (4 x 8), entrada → oculta</t>
        </is>
      </c>
    </row>
    <row r="4">
      <c r="B4" s="6" t="inlineStr">
        <is>
          <t>h1</t>
        </is>
      </c>
      <c r="C4" s="6" t="inlineStr">
        <is>
          <t>h2</t>
        </is>
      </c>
      <c r="D4" s="6" t="inlineStr">
        <is>
          <t>h3</t>
        </is>
      </c>
      <c r="E4" s="6" t="inlineStr">
        <is>
          <t>h4</t>
        </is>
      </c>
      <c r="F4" s="6" t="inlineStr">
        <is>
          <t>h5</t>
        </is>
      </c>
      <c r="G4" s="6" t="inlineStr">
        <is>
          <t>h6</t>
        </is>
      </c>
      <c r="H4" s="6" t="inlineStr">
        <is>
          <t>h7</t>
        </is>
      </c>
      <c r="I4" s="6" t="inlineStr">
        <is>
          <t>h8</t>
        </is>
      </c>
    </row>
    <row r="5">
      <c r="A5" s="2" t="inlineStr">
        <is>
          <t>largo_sepalo</t>
        </is>
      </c>
      <c r="B5" s="7" t="n">
        <v>0.03467964680098221</v>
      </c>
      <c r="C5" s="7" t="n">
        <v>0.6826779061561722</v>
      </c>
      <c r="D5" s="7" t="n">
        <v>0.3337929997576295</v>
      </c>
      <c r="E5" s="7" t="n">
        <v>-0.6988014931514829</v>
      </c>
      <c r="F5" s="7" t="n">
        <v>-0.6415642938256851</v>
      </c>
      <c r="G5" s="7" t="n">
        <v>-0.3206145367442078</v>
      </c>
      <c r="H5" s="7" t="n">
        <v>0.1103608356464956</v>
      </c>
      <c r="I5" s="7" t="n">
        <v>0.5380848260377511</v>
      </c>
    </row>
    <row r="6">
      <c r="A6" s="2" t="inlineStr">
        <is>
          <t>ancho_sepalo</t>
        </is>
      </c>
      <c r="B6" s="7" t="n">
        <v>0.303424701099416</v>
      </c>
      <c r="C6" s="7" t="n">
        <v>-0.7971066833819536</v>
      </c>
      <c r="D6" s="7" t="n">
        <v>-0.4305863314221969</v>
      </c>
      <c r="E6" s="7" t="n">
        <v>0.6838169407569304</v>
      </c>
      <c r="F6" s="7" t="n">
        <v>0.2913828858569736</v>
      </c>
      <c r="G6" s="7" t="n">
        <v>-0.2492893240962863</v>
      </c>
      <c r="H6" s="7" t="n">
        <v>0.1836873151300639</v>
      </c>
      <c r="I6" s="7" t="n">
        <v>-0.4937197246160642</v>
      </c>
    </row>
    <row r="7">
      <c r="A7" s="2" t="inlineStr">
        <is>
          <t>largo_petalo</t>
        </is>
      </c>
      <c r="B7" s="7" t="n">
        <v>-0.6858987710720577</v>
      </c>
      <c r="C7" s="7" t="n">
        <v>0.7201693213496574</v>
      </c>
      <c r="D7" s="7" t="n">
        <v>0.2219161813718633</v>
      </c>
      <c r="E7" s="7" t="n">
        <v>-0.8185012454840649</v>
      </c>
      <c r="F7" s="7" t="n">
        <v>0.839916621180127</v>
      </c>
      <c r="G7" s="7" t="n">
        <v>1.462078287864242</v>
      </c>
      <c r="H7" s="7" t="n">
        <v>-0.9208037429470084</v>
      </c>
      <c r="I7" s="7" t="n">
        <v>0.6794592282115611</v>
      </c>
    </row>
    <row r="8">
      <c r="A8" s="2" t="inlineStr">
        <is>
          <t>ancho_petalo</t>
        </is>
      </c>
      <c r="B8" s="7" t="n">
        <v>-1.048071593378076</v>
      </c>
      <c r="C8" s="7" t="n">
        <v>0.6274208863225764</v>
      </c>
      <c r="D8" s="7" t="n">
        <v>0.5970491257056351</v>
      </c>
      <c r="E8" s="7" t="n">
        <v>-0.5473386171889533</v>
      </c>
      <c r="F8" s="7" t="n">
        <v>0.9720288015395582</v>
      </c>
      <c r="G8" s="7" t="n">
        <v>1.269995631031424</v>
      </c>
      <c r="H8" s="7" t="n">
        <v>-0.6646546751675747</v>
      </c>
      <c r="I8" s="7" t="n">
        <v>0.6966667800160999</v>
      </c>
    </row>
    <row r="10">
      <c r="A10" s="2" t="inlineStr">
        <is>
          <t>b1 (8)</t>
        </is>
      </c>
    </row>
    <row r="11">
      <c r="B11" s="6" t="inlineStr">
        <is>
          <t>h1</t>
        </is>
      </c>
      <c r="C11" s="6" t="inlineStr">
        <is>
          <t>h2</t>
        </is>
      </c>
      <c r="D11" s="6" t="inlineStr">
        <is>
          <t>h3</t>
        </is>
      </c>
      <c r="E11" s="6" t="inlineStr">
        <is>
          <t>h4</t>
        </is>
      </c>
      <c r="F11" s="6" t="inlineStr">
        <is>
          <t>h5</t>
        </is>
      </c>
      <c r="G11" s="6" t="inlineStr">
        <is>
          <t>h6</t>
        </is>
      </c>
      <c r="H11" s="6" t="inlineStr">
        <is>
          <t>h7</t>
        </is>
      </c>
      <c r="I11" s="6" t="inlineStr">
        <is>
          <t>h8</t>
        </is>
      </c>
    </row>
    <row r="12">
      <c r="A12" s="2" t="inlineStr">
        <is>
          <t>b1</t>
        </is>
      </c>
      <c r="B12" s="7" t="n">
        <v>1.020451699407174</v>
      </c>
      <c r="C12" s="7" t="n">
        <v>0.6420499507728865</v>
      </c>
      <c r="D12" s="7" t="n">
        <v>-0.1565867202303049</v>
      </c>
      <c r="E12" s="7" t="n">
        <v>-0.7629326479446354</v>
      </c>
      <c r="F12" s="7" t="n">
        <v>-0.3942396065869107</v>
      </c>
      <c r="G12" s="7" t="n">
        <v>-1.666428463355898</v>
      </c>
      <c r="H12" s="7" t="n">
        <v>-0.5199059139927121</v>
      </c>
      <c r="I12" s="7" t="n">
        <v>-0.8765921649720625</v>
      </c>
    </row>
    <row r="14">
      <c r="A14" s="2" t="inlineStr">
        <is>
          <t>W2 (8 x 3), oculta → salida</t>
        </is>
      </c>
    </row>
    <row r="15">
      <c r="B15" s="6" t="inlineStr">
        <is>
          <t>o1 (Iris-setosa)</t>
        </is>
      </c>
      <c r="C15" s="6" t="inlineStr">
        <is>
          <t>o2 (Iris-versicolor)</t>
        </is>
      </c>
      <c r="D15" s="6" t="inlineStr">
        <is>
          <t>o3 (Iris-virginica)</t>
        </is>
      </c>
    </row>
    <row r="16">
      <c r="A16" s="2" t="inlineStr">
        <is>
          <t>h1</t>
        </is>
      </c>
      <c r="B16" s="7" t="n">
        <v>0.9887135171893572</v>
      </c>
      <c r="C16" s="7" t="n">
        <v>0.3376690593911049</v>
      </c>
      <c r="D16" s="7" t="n">
        <v>-2.156693620805361</v>
      </c>
    </row>
    <row r="17">
      <c r="A17" s="2" t="inlineStr">
        <is>
          <t>h2</t>
        </is>
      </c>
      <c r="B17" s="7" t="n">
        <v>-1.148705578403371</v>
      </c>
      <c r="C17" s="7" t="n">
        <v>1.622677979847816</v>
      </c>
      <c r="D17" s="7" t="n">
        <v>1.064319506446797</v>
      </c>
    </row>
    <row r="18">
      <c r="A18" s="2" t="inlineStr">
        <is>
          <t>h3</t>
        </is>
      </c>
      <c r="B18" s="7" t="n">
        <v>-0.3885311980322499</v>
      </c>
      <c r="C18" s="7" t="n">
        <v>0.3121243679929395</v>
      </c>
      <c r="D18" s="7" t="n">
        <v>1.088474613445862</v>
      </c>
    </row>
    <row r="19">
      <c r="A19" s="2" t="inlineStr">
        <is>
          <t>h4</t>
        </is>
      </c>
      <c r="B19" s="7" t="n">
        <v>1.279569919941692</v>
      </c>
      <c r="C19" s="7" t="n">
        <v>-1.147187274471184</v>
      </c>
      <c r="D19" s="7" t="n">
        <v>-0.1956876731629007</v>
      </c>
    </row>
    <row r="20">
      <c r="A20" s="2" t="inlineStr">
        <is>
          <t>h5</t>
        </is>
      </c>
      <c r="B20" s="7" t="n">
        <v>-0.3531490006086412</v>
      </c>
      <c r="C20" s="7" t="n">
        <v>-0.7261819229959711</v>
      </c>
      <c r="D20" s="7" t="n">
        <v>1.000713010834737</v>
      </c>
    </row>
    <row r="21">
      <c r="A21" s="2" t="inlineStr">
        <is>
          <t>h6</t>
        </is>
      </c>
      <c r="B21" s="7" t="n">
        <v>-1.080961340111012</v>
      </c>
      <c r="C21" s="7" t="n">
        <v>-1.834779835853733</v>
      </c>
      <c r="D21" s="7" t="n">
        <v>2.042911790610139</v>
      </c>
    </row>
    <row r="22">
      <c r="A22" s="2" t="inlineStr">
        <is>
          <t>h7</t>
        </is>
      </c>
      <c r="B22" s="7" t="n">
        <v>1.032070464967515</v>
      </c>
      <c r="C22" s="7" t="n">
        <v>-0.555076578252352</v>
      </c>
      <c r="D22" s="7" t="n">
        <v>-0.2880371655630278</v>
      </c>
    </row>
    <row r="23">
      <c r="A23" s="2" t="inlineStr">
        <is>
          <t>h8</t>
        </is>
      </c>
      <c r="B23" s="7" t="n">
        <v>-1.211307030915185</v>
      </c>
      <c r="C23" s="7" t="n">
        <v>-1.032747704607463</v>
      </c>
      <c r="D23" s="7" t="n">
        <v>1.262863320216439</v>
      </c>
    </row>
    <row r="25">
      <c r="A25" s="2" t="inlineStr">
        <is>
          <t>b2 (3)</t>
        </is>
      </c>
    </row>
    <row r="26">
      <c r="B26" s="6" t="inlineStr">
        <is>
          <t>o1 (Iris-setosa)</t>
        </is>
      </c>
      <c r="C26" s="6" t="inlineStr">
        <is>
          <t>o2 (Iris-versicolor)</t>
        </is>
      </c>
      <c r="D26" s="6" t="inlineStr">
        <is>
          <t>o3 (Iris-virginica)</t>
        </is>
      </c>
    </row>
    <row r="27">
      <c r="A27" s="2" t="inlineStr">
        <is>
          <t>b2</t>
        </is>
      </c>
      <c r="B27" s="7" t="n">
        <v>-0.1902722896166539</v>
      </c>
      <c r="C27" s="7" t="n">
        <v>0.4724366568832287</v>
      </c>
      <c r="D27" s="7" t="n">
        <v>-0.2821643672665733</v>
      </c>
    </row>
    <row r="29">
      <c r="A29" s="2" t="inlineStr">
        <is>
          <t>Estandarización z = (x - media) / desviación</t>
        </is>
      </c>
    </row>
    <row r="30">
      <c r="B30" s="6" t="inlineStr">
        <is>
          <t>largo_sepalo</t>
        </is>
      </c>
      <c r="C30" s="6" t="inlineStr">
        <is>
          <t>ancho_sepalo</t>
        </is>
      </c>
      <c r="D30" s="6" t="inlineStr">
        <is>
          <t>largo_petalo</t>
        </is>
      </c>
      <c r="E30" s="6" t="inlineStr">
        <is>
          <t>ancho_petalo</t>
        </is>
      </c>
    </row>
    <row r="31">
      <c r="A31" s="2" t="inlineStr">
        <is>
          <t>media</t>
        </is>
      </c>
      <c r="B31" s="7" t="n">
        <v>5.843333333333335</v>
      </c>
      <c r="C31" s="7" t="n">
        <v>3.071666666666666</v>
      </c>
      <c r="D31" s="7" t="n">
        <v>3.756666666666666</v>
      </c>
      <c r="E31" s="7" t="n">
        <v>1.2025</v>
      </c>
    </row>
    <row r="32">
      <c r="A32" s="2" t="inlineStr">
        <is>
          <t>desviación</t>
        </is>
      </c>
      <c r="B32" s="7" t="n">
        <v>0.8314378442727327</v>
      </c>
      <c r="C32" s="7" t="n">
        <v>0.434201054300373</v>
      </c>
      <c r="D32" s="7" t="n">
        <v>1.766669811317956</v>
      </c>
      <c r="E32" s="7" t="n">
        <v>0.769032129801263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Pesos iniciales</t>
        </is>
      </c>
    </row>
    <row r="3">
      <c r="A3" s="2" t="inlineStr">
        <is>
          <t>W1 (4 x 8), entrada → oculta</t>
        </is>
      </c>
    </row>
    <row r="4">
      <c r="B4" s="6" t="inlineStr">
        <is>
          <t>h1</t>
        </is>
      </c>
      <c r="C4" s="6" t="inlineStr">
        <is>
          <t>h2</t>
        </is>
      </c>
      <c r="D4" s="6" t="inlineStr">
        <is>
          <t>h3</t>
        </is>
      </c>
      <c r="E4" s="6" t="inlineStr">
        <is>
          <t>h4</t>
        </is>
      </c>
      <c r="F4" s="6" t="inlineStr">
        <is>
          <t>h5</t>
        </is>
      </c>
      <c r="G4" s="6" t="inlineStr">
        <is>
          <t>h6</t>
        </is>
      </c>
      <c r="H4" s="6" t="inlineStr">
        <is>
          <t>h7</t>
        </is>
      </c>
      <c r="I4" s="6" t="inlineStr">
        <is>
          <t>h8</t>
        </is>
      </c>
    </row>
    <row r="5">
      <c r="A5" s="2" t="inlineStr">
        <is>
          <t>largo_sepalo</t>
        </is>
      </c>
      <c r="B5" s="7" t="n">
        <v>-0.3401672314577531</v>
      </c>
      <c r="C5" s="7" t="n">
        <v>0.3163152907512502</v>
      </c>
      <c r="D5" s="7" t="n">
        <v>0.1821303635007097</v>
      </c>
      <c r="E5" s="7" t="n">
        <v>-0.6505567077219561</v>
      </c>
      <c r="F5" s="7" t="n">
        <v>-0.6651017408770811</v>
      </c>
      <c r="G5" s="7" t="n">
        <v>0.05689895732482697</v>
      </c>
      <c r="H5" s="7" t="n">
        <v>0.4530187999584757</v>
      </c>
      <c r="I5" s="7" t="n">
        <v>0.4194676023802345</v>
      </c>
    </row>
    <row r="6">
      <c r="A6" s="2" t="inlineStr">
        <is>
          <t>ancho_sepalo</t>
        </is>
      </c>
      <c r="B6" s="7" t="n">
        <v>-0.2895065623654962</v>
      </c>
      <c r="C6" s="7" t="n">
        <v>-0.6753320502965455</v>
      </c>
      <c r="D6" s="7" t="n">
        <v>-0.3077668079096886</v>
      </c>
      <c r="E6" s="7" t="n">
        <v>0.4174127559374431</v>
      </c>
      <c r="F6" s="7" t="n">
        <v>0.1248731295019293</v>
      </c>
      <c r="G6" s="7" t="n">
        <v>0.08790097667164576</v>
      </c>
      <c r="H6" s="7" t="n">
        <v>-0.6985920414673963</v>
      </c>
      <c r="I6" s="7" t="n">
        <v>-0.1099740935767916</v>
      </c>
    </row>
    <row r="7">
      <c r="A7" s="2" t="inlineStr">
        <is>
          <t>largo_petalo</t>
        </is>
      </c>
      <c r="B7" s="7" t="n">
        <v>0.1259049559217906</v>
      </c>
      <c r="C7" s="7" t="n">
        <v>0.02656666976367628</v>
      </c>
      <c r="D7" s="7" t="n">
        <v>-0.2390144749948725</v>
      </c>
      <c r="E7" s="7" t="n">
        <v>-0.4965259689217033</v>
      </c>
      <c r="F7" s="7" t="n">
        <v>0.3017789076902676</v>
      </c>
      <c r="G7" s="7" t="n">
        <v>0.5245098295697631</v>
      </c>
      <c r="H7" s="7" t="n">
        <v>-0.3634746301630714</v>
      </c>
      <c r="I7" s="7" t="n">
        <v>-0.3829147238983939</v>
      </c>
    </row>
    <row r="8">
      <c r="A8" s="2" t="inlineStr">
        <is>
          <t>ancho_petalo</t>
        </is>
      </c>
      <c r="B8" s="7" t="n">
        <v>-0.5127573709483886</v>
      </c>
      <c r="C8" s="7" t="n">
        <v>-0.0002065058805554854</v>
      </c>
      <c r="D8" s="7" t="n">
        <v>0.1571933893045449</v>
      </c>
      <c r="E8" s="7" t="n">
        <v>-0.314234698807609</v>
      </c>
      <c r="F8" s="7" t="n">
        <v>0.5889835532583675</v>
      </c>
      <c r="G8" s="7" t="n">
        <v>0.677456309529003</v>
      </c>
      <c r="H8" s="7" t="n">
        <v>-0.3005516478889563</v>
      </c>
      <c r="I8" s="7" t="n">
        <v>-0.4819068709509475</v>
      </c>
    </row>
    <row r="10">
      <c r="A10" s="2" t="inlineStr">
        <is>
          <t>b1 (8)</t>
        </is>
      </c>
    </row>
    <row r="11">
      <c r="B11" s="6" t="inlineStr">
        <is>
          <t>h1</t>
        </is>
      </c>
      <c r="C11" s="6" t="inlineStr">
        <is>
          <t>h2</t>
        </is>
      </c>
      <c r="D11" s="6" t="inlineStr">
        <is>
          <t>h3</t>
        </is>
      </c>
      <c r="E11" s="6" t="inlineStr">
        <is>
          <t>h4</t>
        </is>
      </c>
      <c r="F11" s="6" t="inlineStr">
        <is>
          <t>h5</t>
        </is>
      </c>
      <c r="G11" s="6" t="inlineStr">
        <is>
          <t>h6</t>
        </is>
      </c>
      <c r="H11" s="6" t="inlineStr">
        <is>
          <t>h7</t>
        </is>
      </c>
      <c r="I11" s="6" t="inlineStr">
        <is>
          <t>h8</t>
        </is>
      </c>
    </row>
    <row r="12">
      <c r="A12" s="2" t="inlineStr">
        <is>
          <t>b1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</row>
    <row r="14">
      <c r="A14" s="2" t="inlineStr">
        <is>
          <t>W2 (8 x 3), oculta → salida</t>
        </is>
      </c>
    </row>
    <row r="15">
      <c r="B15" s="6" t="inlineStr">
        <is>
          <t>o1 (Iris-setosa)</t>
        </is>
      </c>
      <c r="C15" s="6" t="inlineStr">
        <is>
          <t>o2 (Iris-versicolor)</t>
        </is>
      </c>
      <c r="D15" s="6" t="inlineStr">
        <is>
          <t>o3 (Iris-virginica)</t>
        </is>
      </c>
    </row>
    <row r="16">
      <c r="A16" s="2" t="inlineStr">
        <is>
          <t>h1</t>
        </is>
      </c>
      <c r="B16" s="7" t="n">
        <v>0.06725682533346355</v>
      </c>
      <c r="C16" s="7" t="n">
        <v>-0.1987785763032049</v>
      </c>
      <c r="D16" s="7" t="n">
        <v>-0.6987892932551618</v>
      </c>
    </row>
    <row r="17">
      <c r="A17" s="2" t="inlineStr">
        <is>
          <t>h2</t>
        </is>
      </c>
      <c r="B17" s="7" t="n">
        <v>0.5325808623150037</v>
      </c>
      <c r="C17" s="7" t="n">
        <v>0.2975356549047214</v>
      </c>
      <c r="D17" s="7" t="n">
        <v>0.7081753906715131</v>
      </c>
    </row>
    <row r="18">
      <c r="A18" s="2" t="inlineStr">
        <is>
          <t>h3</t>
        </is>
      </c>
      <c r="B18" s="7" t="n">
        <v>0.4108356669279845</v>
      </c>
      <c r="C18" s="7" t="n">
        <v>0.1067431163753493</v>
      </c>
      <c r="D18" s="7" t="n">
        <v>0.4944890001032158</v>
      </c>
    </row>
    <row r="19">
      <c r="A19" s="2" t="inlineStr">
        <is>
          <t>h4</t>
        </is>
      </c>
      <c r="B19" s="7" t="n">
        <v>-0.5290066780192731</v>
      </c>
      <c r="C19" s="7" t="n">
        <v>0.1394264704110962</v>
      </c>
      <c r="D19" s="7" t="n">
        <v>0.3262751799157855</v>
      </c>
    </row>
    <row r="20">
      <c r="A20" s="2" t="inlineStr">
        <is>
          <t>h5</t>
        </is>
      </c>
      <c r="B20" s="7" t="n">
        <v>0.1115498457014854</v>
      </c>
      <c r="C20" s="7" t="n">
        <v>-0.06350584368819412</v>
      </c>
      <c r="D20" s="7" t="n">
        <v>-0.1266619147831691</v>
      </c>
    </row>
    <row r="21">
      <c r="A21" s="2" t="inlineStr">
        <is>
          <t>h6</t>
        </is>
      </c>
      <c r="B21" s="7" t="n">
        <v>-0.1810728340601311</v>
      </c>
      <c r="C21" s="7" t="n">
        <v>-0.5892649405770902</v>
      </c>
      <c r="D21" s="7" t="n">
        <v>-0.1024916107173864</v>
      </c>
    </row>
    <row r="22">
      <c r="A22" s="2" t="inlineStr">
        <is>
          <t>h7</t>
        </is>
      </c>
      <c r="B22" s="7" t="n">
        <v>0.2311363512467328</v>
      </c>
      <c r="C22" s="7" t="n">
        <v>-0.5012195635076303</v>
      </c>
      <c r="D22" s="7" t="n">
        <v>0.4590399334130335</v>
      </c>
    </row>
    <row r="23">
      <c r="A23" s="2" t="inlineStr">
        <is>
          <t>h8</t>
        </is>
      </c>
      <c r="B23" s="7" t="n">
        <v>-0.7376004153783333</v>
      </c>
      <c r="C23" s="7" t="n">
        <v>-0.6598030771121156</v>
      </c>
      <c r="D23" s="7" t="n">
        <v>0.416212077184239</v>
      </c>
    </row>
    <row r="25">
      <c r="A25" s="2" t="inlineStr">
        <is>
          <t>b2 (3)</t>
        </is>
      </c>
    </row>
    <row r="26">
      <c r="B26" s="6" t="inlineStr">
        <is>
          <t>o1 (Iris-setosa)</t>
        </is>
      </c>
      <c r="C26" s="6" t="inlineStr">
        <is>
          <t>o2 (Iris-versicolor)</t>
        </is>
      </c>
      <c r="D26" s="6" t="inlineStr">
        <is>
          <t>o3 (Iris-virginica)</t>
        </is>
      </c>
    </row>
    <row r="27">
      <c r="A27" s="2" t="inlineStr">
        <is>
          <t>b2</t>
        </is>
      </c>
      <c r="B27" s="7" t="n">
        <v>0</v>
      </c>
      <c r="C27" s="7" t="n">
        <v>0</v>
      </c>
      <c r="D27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6" customWidth="1" min="25" max="25"/>
    <col width="16" customWidth="1" min="26" max="26"/>
    <col width="11" customWidth="1" min="27" max="27"/>
    <col width="11" customWidth="1" min="28" max="28"/>
    <col width="11" customWidth="1" min="29" max="29"/>
    <col width="11" customWidth="1" min="30" max="30"/>
    <col width="16" customWidth="1" min="31" max="31"/>
    <col width="11" customWidth="1" min="32" max="32"/>
    <col width="11" customWidth="1" min="33" max="33"/>
  </cols>
  <sheetData>
    <row r="1">
      <c r="A1" s="1" t="inlineStr">
        <is>
          <t>Comprobación de la red con fórmulas de Excel</t>
        </is>
      </c>
    </row>
    <row r="2">
      <c r="A2" t="inlineStr">
        <is>
          <t>Cada fila recalcula z, h = tanh(z·W1 + b1), o = h·W2 + b2 y p = softmax(o) con los pesos de la hoja 'Pesos finales'.</t>
        </is>
      </c>
    </row>
    <row r="3">
      <c r="A3" s="2" t="inlineStr">
        <is>
          <t>Exactitud entrenamiento</t>
        </is>
      </c>
      <c r="D3" s="8">
        <f>COUNTIFS(B7:B156,"entrenamiento",AA7:AA156,"Sí")/COUNTIF(B7:B156,"entrenamiento")</f>
        <v/>
      </c>
    </row>
    <row r="4">
      <c r="A4" s="2" t="inlineStr">
        <is>
          <t>Exactitud prueba</t>
        </is>
      </c>
      <c r="D4" s="8">
        <f>COUNTIFS(B7:B156,"prueba",AA7:AA156,"Sí")/COUNTIF(B7:B156,"prueba")</f>
        <v/>
      </c>
    </row>
    <row r="5">
      <c r="A5" s="2" t="inlineStr">
        <is>
          <t>Filas donde Excel = Python</t>
        </is>
      </c>
      <c r="D5" s="2">
        <f>COUNTIF(AG7:AG156,"Sí")&amp;" de "&amp;COUNTA(A7:A156)</f>
        <v/>
      </c>
    </row>
    <row r="6">
      <c r="A6" s="6" t="inlineStr">
        <is>
          <t>#</t>
        </is>
      </c>
      <c r="B6" s="6" t="inlineStr">
        <is>
          <t>Conjunto</t>
        </is>
      </c>
      <c r="C6" s="6" t="inlineStr">
        <is>
          <t>x1 largo_sepalo</t>
        </is>
      </c>
      <c r="D6" s="6" t="inlineStr">
        <is>
          <t>x2 ancho_sepalo</t>
        </is>
      </c>
      <c r="E6" s="6" t="inlineStr">
        <is>
          <t>x3 largo_petalo</t>
        </is>
      </c>
      <c r="F6" s="6" t="inlineStr">
        <is>
          <t>x4 ancho_petalo</t>
        </is>
      </c>
      <c r="G6" s="6" t="inlineStr">
        <is>
          <t>z1</t>
        </is>
      </c>
      <c r="H6" s="6" t="inlineStr">
        <is>
          <t>z2</t>
        </is>
      </c>
      <c r="I6" s="6" t="inlineStr">
        <is>
          <t>z3</t>
        </is>
      </c>
      <c r="J6" s="6" t="inlineStr">
        <is>
          <t>z4</t>
        </is>
      </c>
      <c r="K6" s="6" t="inlineStr">
        <is>
          <t>h1</t>
        </is>
      </c>
      <c r="L6" s="6" t="inlineStr">
        <is>
          <t>h2</t>
        </is>
      </c>
      <c r="M6" s="6" t="inlineStr">
        <is>
          <t>h3</t>
        </is>
      </c>
      <c r="N6" s="6" t="inlineStr">
        <is>
          <t>h4</t>
        </is>
      </c>
      <c r="O6" s="6" t="inlineStr">
        <is>
          <t>h5</t>
        </is>
      </c>
      <c r="P6" s="6" t="inlineStr">
        <is>
          <t>h6</t>
        </is>
      </c>
      <c r="Q6" s="6" t="inlineStr">
        <is>
          <t>h7</t>
        </is>
      </c>
      <c r="R6" s="6" t="inlineStr">
        <is>
          <t>h8</t>
        </is>
      </c>
      <c r="S6" s="6" t="inlineStr">
        <is>
          <t>o1</t>
        </is>
      </c>
      <c r="T6" s="6" t="inlineStr">
        <is>
          <t>o2</t>
        </is>
      </c>
      <c r="U6" s="6" t="inlineStr">
        <is>
          <t>o3</t>
        </is>
      </c>
      <c r="V6" s="6" t="inlineStr">
        <is>
          <t>p1 Excel</t>
        </is>
      </c>
      <c r="W6" s="6" t="inlineStr">
        <is>
          <t>p2 Excel</t>
        </is>
      </c>
      <c r="X6" s="6" t="inlineStr">
        <is>
          <t>p3 Excel</t>
        </is>
      </c>
      <c r="Y6" s="6" t="inlineStr">
        <is>
          <t>Predicción Excel</t>
        </is>
      </c>
      <c r="Z6" s="6" t="inlineStr">
        <is>
          <t>Clase real</t>
        </is>
      </c>
      <c r="AA6" s="6" t="inlineStr">
        <is>
          <t>¿Correcta?</t>
        </is>
      </c>
      <c r="AB6" s="6" t="inlineStr">
        <is>
          <t>p1 Python</t>
        </is>
      </c>
      <c r="AC6" s="6" t="inlineStr">
        <is>
          <t>p2 Python</t>
        </is>
      </c>
      <c r="AD6" s="6" t="inlineStr">
        <is>
          <t>p3 Python</t>
        </is>
      </c>
      <c r="AE6" s="6" t="inlineStr">
        <is>
          <t>Predicción Python</t>
        </is>
      </c>
      <c r="AF6" s="6" t="inlineStr">
        <is>
          <t>Dif. máx. p</t>
        </is>
      </c>
      <c r="AG6" s="6" t="inlineStr">
        <is>
          <t>¿Excel = Python?</t>
        </is>
      </c>
    </row>
    <row r="7">
      <c r="A7" t="n">
        <v>1</v>
      </c>
      <c r="B7" t="inlineStr">
        <is>
          <t>entrenamiento</t>
        </is>
      </c>
      <c r="C7" t="n">
        <v>5.1</v>
      </c>
      <c r="D7" t="n">
        <v>3.5</v>
      </c>
      <c r="E7" t="n">
        <v>1.4</v>
      </c>
      <c r="F7" t="n">
        <v>0.2</v>
      </c>
      <c r="G7" s="7">
        <f>(C7-'Pesos finales'!$B$31)/'Pesos finales'!$B$32</f>
        <v/>
      </c>
      <c r="H7" s="7">
        <f>(D7-'Pesos finales'!$C$31)/'Pesos finales'!$C$32</f>
        <v/>
      </c>
      <c r="I7" s="7">
        <f>(E7-'Pesos finales'!$D$31)/'Pesos finales'!$D$32</f>
        <v/>
      </c>
      <c r="J7" s="7">
        <f>(F7-'Pesos finales'!$E$31)/'Pesos finales'!$E$32</f>
        <v/>
      </c>
      <c r="K7" s="7">
        <f>TANH(G7*'Pesos finales'!$B$5+H7*'Pesos finales'!$B$6+I7*'Pesos finales'!$B$7+J7*'Pesos finales'!$B$8+'Pesos finales'!$B$12)</f>
        <v/>
      </c>
      <c r="L7" s="7">
        <f>TANH(G7*'Pesos finales'!$C$5+H7*'Pesos finales'!$C$6+I7*'Pesos finales'!$C$7+J7*'Pesos finales'!$C$8+'Pesos finales'!$C$12)</f>
        <v/>
      </c>
      <c r="M7" s="7">
        <f>TANH(G7*'Pesos finales'!$D$5+H7*'Pesos finales'!$D$6+I7*'Pesos finales'!$D$7+J7*'Pesos finales'!$D$8+'Pesos finales'!$D$12)</f>
        <v/>
      </c>
      <c r="N7" s="7">
        <f>TANH(G7*'Pesos finales'!$E$5+H7*'Pesos finales'!$E$6+I7*'Pesos finales'!$E$7+J7*'Pesos finales'!$E$8+'Pesos finales'!$E$12)</f>
        <v/>
      </c>
      <c r="O7" s="7">
        <f>TANH(G7*'Pesos finales'!$F$5+H7*'Pesos finales'!$F$6+I7*'Pesos finales'!$F$7+J7*'Pesos finales'!$F$8+'Pesos finales'!$F$12)</f>
        <v/>
      </c>
      <c r="P7" s="7">
        <f>TANH(G7*'Pesos finales'!$G$5+H7*'Pesos finales'!$G$6+I7*'Pesos finales'!$G$7+J7*'Pesos finales'!$G$8+'Pesos finales'!$G$12)</f>
        <v/>
      </c>
      <c r="Q7" s="7">
        <f>TANH(G7*'Pesos finales'!$H$5+H7*'Pesos finales'!$H$6+I7*'Pesos finales'!$H$7+J7*'Pesos finales'!$H$8+'Pesos finales'!$H$12)</f>
        <v/>
      </c>
      <c r="R7" s="7">
        <f>TANH(G7*'Pesos finales'!$I$5+H7*'Pesos finales'!$I$6+I7*'Pesos finales'!$I$7+J7*'Pesos finales'!$I$8+'Pesos finales'!$I$12)</f>
        <v/>
      </c>
      <c r="S7" s="7">
        <f>K7*'Pesos finales'!$B$16+L7*'Pesos finales'!$B$17+M7*'Pesos finales'!$B$18+N7*'Pesos finales'!$B$19+O7*'Pesos finales'!$B$20+P7*'Pesos finales'!$B$21+Q7*'Pesos finales'!$B$22+R7*'Pesos finales'!$B$23+'Pesos finales'!$B$27</f>
        <v/>
      </c>
      <c r="T7" s="7">
        <f>K7*'Pesos finales'!$C$16+L7*'Pesos finales'!$C$17+M7*'Pesos finales'!$C$18+N7*'Pesos finales'!$C$19+O7*'Pesos finales'!$C$20+P7*'Pesos finales'!$C$21+Q7*'Pesos finales'!$C$22+R7*'Pesos finales'!$C$23+'Pesos finales'!$C$27</f>
        <v/>
      </c>
      <c r="U7" s="7">
        <f>K7*'Pesos finales'!$D$16+L7*'Pesos finales'!$D$17+M7*'Pesos finales'!$D$18+N7*'Pesos finales'!$D$19+O7*'Pesos finales'!$D$20+P7*'Pesos finales'!$D$21+Q7*'Pesos finales'!$D$22+R7*'Pesos finales'!$D$23+'Pesos finales'!$D$27</f>
        <v/>
      </c>
      <c r="V7" s="7">
        <f>EXP(S7)/(EXP(S7)+EXP(T7)+EXP(U7))</f>
        <v/>
      </c>
      <c r="W7" s="7">
        <f>EXP(T7)/(EXP(S7)+EXP(T7)+EXP(U7))</f>
        <v/>
      </c>
      <c r="X7" s="7">
        <f>EXP(U7)/(EXP(S7)+EXP(T7)+EXP(U7))</f>
        <v/>
      </c>
      <c r="Y7">
        <f>IF(AND(V7&gt;=W7,V7&gt;=X7),"Iris-setosa",IF(AND(W7&gt;=X7),"Iris-versicolor","Iris-virginica"))</f>
        <v/>
      </c>
      <c r="Z7" t="inlineStr">
        <is>
          <t>Iris-setosa</t>
        </is>
      </c>
      <c r="AA7">
        <f>IF(Y7=Z7,"Sí","No")</f>
        <v/>
      </c>
      <c r="AB7" s="7" t="n">
        <v>0.9982074155398314</v>
      </c>
      <c r="AC7" s="7" t="n">
        <v>0.001792509444865995</v>
      </c>
      <c r="AD7" s="7" t="n">
        <v>7.5015302623777e-08</v>
      </c>
      <c r="AE7" t="inlineStr">
        <is>
          <t>Iris-setosa</t>
        </is>
      </c>
      <c r="AF7" s="9">
        <f>MAX(ABS(V7-AB7),ABS(W7-AC7),ABS(X7-AD7))</f>
        <v/>
      </c>
      <c r="AG7">
        <f>IF(AND(Y7=AE7,AF7&lt;1E-9),"Sí","No")</f>
        <v/>
      </c>
    </row>
    <row r="8">
      <c r="A8" t="n">
        <v>2</v>
      </c>
      <c r="B8" t="inlineStr">
        <is>
          <t>entrenamiento</t>
        </is>
      </c>
      <c r="C8" t="n">
        <v>4.9</v>
      </c>
      <c r="D8" t="n">
        <v>3</v>
      </c>
      <c r="E8" t="n">
        <v>1.4</v>
      </c>
      <c r="F8" t="n">
        <v>0.2</v>
      </c>
      <c r="G8" s="7">
        <f>(C8-'Pesos finales'!$B$31)/'Pesos finales'!$B$32</f>
        <v/>
      </c>
      <c r="H8" s="7">
        <f>(D8-'Pesos finales'!$C$31)/'Pesos finales'!$C$32</f>
        <v/>
      </c>
      <c r="I8" s="7">
        <f>(E8-'Pesos finales'!$D$31)/'Pesos finales'!$D$32</f>
        <v/>
      </c>
      <c r="J8" s="7">
        <f>(F8-'Pesos finales'!$E$31)/'Pesos finales'!$E$32</f>
        <v/>
      </c>
      <c r="K8" s="7">
        <f>TANH(G8*'Pesos finales'!$B$5+H8*'Pesos finales'!$B$6+I8*'Pesos finales'!$B$7+J8*'Pesos finales'!$B$8+'Pesos finales'!$B$12)</f>
        <v/>
      </c>
      <c r="L8" s="7">
        <f>TANH(G8*'Pesos finales'!$C$5+H8*'Pesos finales'!$C$6+I8*'Pesos finales'!$C$7+J8*'Pesos finales'!$C$8+'Pesos finales'!$C$12)</f>
        <v/>
      </c>
      <c r="M8" s="7">
        <f>TANH(G8*'Pesos finales'!$D$5+H8*'Pesos finales'!$D$6+I8*'Pesos finales'!$D$7+J8*'Pesos finales'!$D$8+'Pesos finales'!$D$12)</f>
        <v/>
      </c>
      <c r="N8" s="7">
        <f>TANH(G8*'Pesos finales'!$E$5+H8*'Pesos finales'!$E$6+I8*'Pesos finales'!$E$7+J8*'Pesos finales'!$E$8+'Pesos finales'!$E$12)</f>
        <v/>
      </c>
      <c r="O8" s="7">
        <f>TANH(G8*'Pesos finales'!$F$5+H8*'Pesos finales'!$F$6+I8*'Pesos finales'!$F$7+J8*'Pesos finales'!$F$8+'Pesos finales'!$F$12)</f>
        <v/>
      </c>
      <c r="P8" s="7">
        <f>TANH(G8*'Pesos finales'!$G$5+H8*'Pesos finales'!$G$6+I8*'Pesos finales'!$G$7+J8*'Pesos finales'!$G$8+'Pesos finales'!$G$12)</f>
        <v/>
      </c>
      <c r="Q8" s="7">
        <f>TANH(G8*'Pesos finales'!$H$5+H8*'Pesos finales'!$H$6+I8*'Pesos finales'!$H$7+J8*'Pesos finales'!$H$8+'Pesos finales'!$H$12)</f>
        <v/>
      </c>
      <c r="R8" s="7">
        <f>TANH(G8*'Pesos finales'!$I$5+H8*'Pesos finales'!$I$6+I8*'Pesos finales'!$I$7+J8*'Pesos finales'!$I$8+'Pesos finales'!$I$12)</f>
        <v/>
      </c>
      <c r="S8" s="7">
        <f>K8*'Pesos finales'!$B$16+L8*'Pesos finales'!$B$17+M8*'Pesos finales'!$B$18+N8*'Pesos finales'!$B$19+O8*'Pesos finales'!$B$20+P8*'Pesos finales'!$B$21+Q8*'Pesos finales'!$B$22+R8*'Pesos finales'!$B$23+'Pesos finales'!$B$27</f>
        <v/>
      </c>
      <c r="T8" s="7">
        <f>K8*'Pesos finales'!$C$16+L8*'Pesos finales'!$C$17+M8*'Pesos finales'!$C$18+N8*'Pesos finales'!$C$19+O8*'Pesos finales'!$C$20+P8*'Pesos finales'!$C$21+Q8*'Pesos finales'!$C$22+R8*'Pesos finales'!$C$23+'Pesos finales'!$C$27</f>
        <v/>
      </c>
      <c r="U8" s="7">
        <f>K8*'Pesos finales'!$D$16+L8*'Pesos finales'!$D$17+M8*'Pesos finales'!$D$18+N8*'Pesos finales'!$D$19+O8*'Pesos finales'!$D$20+P8*'Pesos finales'!$D$21+Q8*'Pesos finales'!$D$22+R8*'Pesos finales'!$D$23+'Pesos finales'!$D$27</f>
        <v/>
      </c>
      <c r="V8" s="7">
        <f>EXP(S8)/(EXP(S8)+EXP(T8)+EXP(U8))</f>
        <v/>
      </c>
      <c r="W8" s="7">
        <f>EXP(T8)/(EXP(S8)+EXP(T8)+EXP(U8))</f>
        <v/>
      </c>
      <c r="X8" s="7">
        <f>EXP(U8)/(EXP(S8)+EXP(T8)+EXP(U8))</f>
        <v/>
      </c>
      <c r="Y8">
        <f>IF(AND(V8&gt;=W8,V8&gt;=X8),"Iris-setosa",IF(AND(W8&gt;=X8),"Iris-versicolor","Iris-virginica"))</f>
        <v/>
      </c>
      <c r="Z8" t="inlineStr">
        <is>
          <t>Iris-setosa</t>
        </is>
      </c>
      <c r="AA8">
        <f>IF(Y8=Z8,"Sí","No")</f>
        <v/>
      </c>
      <c r="AB8" s="7" t="n">
        <v>0.9975116341996614</v>
      </c>
      <c r="AC8" s="7" t="n">
        <v>0.002488266881755841</v>
      </c>
      <c r="AD8" s="7" t="n">
        <v>9.891858277208306e-08</v>
      </c>
      <c r="AE8" t="inlineStr">
        <is>
          <t>Iris-setosa</t>
        </is>
      </c>
      <c r="AF8" s="9">
        <f>MAX(ABS(V8-AB8),ABS(W8-AC8),ABS(X8-AD8))</f>
        <v/>
      </c>
      <c r="AG8">
        <f>IF(AND(Y8=AE8,AF8&lt;1E-9),"Sí","No")</f>
        <v/>
      </c>
    </row>
    <row r="9">
      <c r="A9" t="n">
        <v>3</v>
      </c>
      <c r="B9" t="inlineStr">
        <is>
          <t>entrenamiento</t>
        </is>
      </c>
      <c r="C9" t="n">
        <v>4.7</v>
      </c>
      <c r="D9" t="n">
        <v>3.2</v>
      </c>
      <c r="E9" t="n">
        <v>1.3</v>
      </c>
      <c r="F9" t="n">
        <v>0.2</v>
      </c>
      <c r="G9" s="7">
        <f>(C9-'Pesos finales'!$B$31)/'Pesos finales'!$B$32</f>
        <v/>
      </c>
      <c r="H9" s="7">
        <f>(D9-'Pesos finales'!$C$31)/'Pesos finales'!$C$32</f>
        <v/>
      </c>
      <c r="I9" s="7">
        <f>(E9-'Pesos finales'!$D$31)/'Pesos finales'!$D$32</f>
        <v/>
      </c>
      <c r="J9" s="7">
        <f>(F9-'Pesos finales'!$E$31)/'Pesos finales'!$E$32</f>
        <v/>
      </c>
      <c r="K9" s="7">
        <f>TANH(G9*'Pesos finales'!$B$5+H9*'Pesos finales'!$B$6+I9*'Pesos finales'!$B$7+J9*'Pesos finales'!$B$8+'Pesos finales'!$B$12)</f>
        <v/>
      </c>
      <c r="L9" s="7">
        <f>TANH(G9*'Pesos finales'!$C$5+H9*'Pesos finales'!$C$6+I9*'Pesos finales'!$C$7+J9*'Pesos finales'!$C$8+'Pesos finales'!$C$12)</f>
        <v/>
      </c>
      <c r="M9" s="7">
        <f>TANH(G9*'Pesos finales'!$D$5+H9*'Pesos finales'!$D$6+I9*'Pesos finales'!$D$7+J9*'Pesos finales'!$D$8+'Pesos finales'!$D$12)</f>
        <v/>
      </c>
      <c r="N9" s="7">
        <f>TANH(G9*'Pesos finales'!$E$5+H9*'Pesos finales'!$E$6+I9*'Pesos finales'!$E$7+J9*'Pesos finales'!$E$8+'Pesos finales'!$E$12)</f>
        <v/>
      </c>
      <c r="O9" s="7">
        <f>TANH(G9*'Pesos finales'!$F$5+H9*'Pesos finales'!$F$6+I9*'Pesos finales'!$F$7+J9*'Pesos finales'!$F$8+'Pesos finales'!$F$12)</f>
        <v/>
      </c>
      <c r="P9" s="7">
        <f>TANH(G9*'Pesos finales'!$G$5+H9*'Pesos finales'!$G$6+I9*'Pesos finales'!$G$7+J9*'Pesos finales'!$G$8+'Pesos finales'!$G$12)</f>
        <v/>
      </c>
      <c r="Q9" s="7">
        <f>TANH(G9*'Pesos finales'!$H$5+H9*'Pesos finales'!$H$6+I9*'Pesos finales'!$H$7+J9*'Pesos finales'!$H$8+'Pesos finales'!$H$12)</f>
        <v/>
      </c>
      <c r="R9" s="7">
        <f>TANH(G9*'Pesos finales'!$I$5+H9*'Pesos finales'!$I$6+I9*'Pesos finales'!$I$7+J9*'Pesos finales'!$I$8+'Pesos finales'!$I$12)</f>
        <v/>
      </c>
      <c r="S9" s="7">
        <f>K9*'Pesos finales'!$B$16+L9*'Pesos finales'!$B$17+M9*'Pesos finales'!$B$18+N9*'Pesos finales'!$B$19+O9*'Pesos finales'!$B$20+P9*'Pesos finales'!$B$21+Q9*'Pesos finales'!$B$22+R9*'Pesos finales'!$B$23+'Pesos finales'!$B$27</f>
        <v/>
      </c>
      <c r="T9" s="7">
        <f>K9*'Pesos finales'!$C$16+L9*'Pesos finales'!$C$17+M9*'Pesos finales'!$C$18+N9*'Pesos finales'!$C$19+O9*'Pesos finales'!$C$20+P9*'Pesos finales'!$C$21+Q9*'Pesos finales'!$C$22+R9*'Pesos finales'!$C$23+'Pesos finales'!$C$27</f>
        <v/>
      </c>
      <c r="U9" s="7">
        <f>K9*'Pesos finales'!$D$16+L9*'Pesos finales'!$D$17+M9*'Pesos finales'!$D$18+N9*'Pesos finales'!$D$19+O9*'Pesos finales'!$D$20+P9*'Pesos finales'!$D$21+Q9*'Pesos finales'!$D$22+R9*'Pesos finales'!$D$23+'Pesos finales'!$D$27</f>
        <v/>
      </c>
      <c r="V9" s="7">
        <f>EXP(S9)/(EXP(S9)+EXP(T9)+EXP(U9))</f>
        <v/>
      </c>
      <c r="W9" s="7">
        <f>EXP(T9)/(EXP(S9)+EXP(T9)+EXP(U9))</f>
        <v/>
      </c>
      <c r="X9" s="7">
        <f>EXP(U9)/(EXP(S9)+EXP(T9)+EXP(U9))</f>
        <v/>
      </c>
      <c r="Y9">
        <f>IF(AND(V9&gt;=W9,V9&gt;=X9),"Iris-setosa",IF(AND(W9&gt;=X9),"Iris-versicolor","Iris-virginica"))</f>
        <v/>
      </c>
      <c r="Z9" t="inlineStr">
        <is>
          <t>Iris-setosa</t>
        </is>
      </c>
      <c r="AA9">
        <f>IF(Y9=Z9,"Sí","No")</f>
        <v/>
      </c>
      <c r="AB9" s="7" t="n">
        <v>0.9980951900976169</v>
      </c>
      <c r="AC9" s="7" t="n">
        <v>0.001904729552342503</v>
      </c>
      <c r="AD9" s="7" t="n">
        <v>8.035004045980366e-08</v>
      </c>
      <c r="AE9" t="inlineStr">
        <is>
          <t>Iris-setosa</t>
        </is>
      </c>
      <c r="AF9" s="9">
        <f>MAX(ABS(V9-AB9),ABS(W9-AC9),ABS(X9-AD9))</f>
        <v/>
      </c>
      <c r="AG9">
        <f>IF(AND(Y9=AE9,AF9&lt;1E-9),"Sí","No")</f>
        <v/>
      </c>
    </row>
    <row r="10">
      <c r="A10" t="n">
        <v>4</v>
      </c>
      <c r="B10" t="inlineStr">
        <is>
          <t>entrenamiento</t>
        </is>
      </c>
      <c r="C10" t="n">
        <v>4.6</v>
      </c>
      <c r="D10" t="n">
        <v>3.1</v>
      </c>
      <c r="E10" t="n">
        <v>1.5</v>
      </c>
      <c r="F10" t="n">
        <v>0.2</v>
      </c>
      <c r="G10" s="7">
        <f>(C10-'Pesos finales'!$B$31)/'Pesos finales'!$B$32</f>
        <v/>
      </c>
      <c r="H10" s="7">
        <f>(D10-'Pesos finales'!$C$31)/'Pesos finales'!$C$32</f>
        <v/>
      </c>
      <c r="I10" s="7">
        <f>(E10-'Pesos finales'!$D$31)/'Pesos finales'!$D$32</f>
        <v/>
      </c>
      <c r="J10" s="7">
        <f>(F10-'Pesos finales'!$E$31)/'Pesos finales'!$E$32</f>
        <v/>
      </c>
      <c r="K10" s="7">
        <f>TANH(G10*'Pesos finales'!$B$5+H10*'Pesos finales'!$B$6+I10*'Pesos finales'!$B$7+J10*'Pesos finales'!$B$8+'Pesos finales'!$B$12)</f>
        <v/>
      </c>
      <c r="L10" s="7">
        <f>TANH(G10*'Pesos finales'!$C$5+H10*'Pesos finales'!$C$6+I10*'Pesos finales'!$C$7+J10*'Pesos finales'!$C$8+'Pesos finales'!$C$12)</f>
        <v/>
      </c>
      <c r="M10" s="7">
        <f>TANH(G10*'Pesos finales'!$D$5+H10*'Pesos finales'!$D$6+I10*'Pesos finales'!$D$7+J10*'Pesos finales'!$D$8+'Pesos finales'!$D$12)</f>
        <v/>
      </c>
      <c r="N10" s="7">
        <f>TANH(G10*'Pesos finales'!$E$5+H10*'Pesos finales'!$E$6+I10*'Pesos finales'!$E$7+J10*'Pesos finales'!$E$8+'Pesos finales'!$E$12)</f>
        <v/>
      </c>
      <c r="O10" s="7">
        <f>TANH(G10*'Pesos finales'!$F$5+H10*'Pesos finales'!$F$6+I10*'Pesos finales'!$F$7+J10*'Pesos finales'!$F$8+'Pesos finales'!$F$12)</f>
        <v/>
      </c>
      <c r="P10" s="7">
        <f>TANH(G10*'Pesos finales'!$G$5+H10*'Pesos finales'!$G$6+I10*'Pesos finales'!$G$7+J10*'Pesos finales'!$G$8+'Pesos finales'!$G$12)</f>
        <v/>
      </c>
      <c r="Q10" s="7">
        <f>TANH(G10*'Pesos finales'!$H$5+H10*'Pesos finales'!$H$6+I10*'Pesos finales'!$H$7+J10*'Pesos finales'!$H$8+'Pesos finales'!$H$12)</f>
        <v/>
      </c>
      <c r="R10" s="7">
        <f>TANH(G10*'Pesos finales'!$I$5+H10*'Pesos finales'!$I$6+I10*'Pesos finales'!$I$7+J10*'Pesos finales'!$I$8+'Pesos finales'!$I$12)</f>
        <v/>
      </c>
      <c r="S10" s="7">
        <f>K10*'Pesos finales'!$B$16+L10*'Pesos finales'!$B$17+M10*'Pesos finales'!$B$18+N10*'Pesos finales'!$B$19+O10*'Pesos finales'!$B$20+P10*'Pesos finales'!$B$21+Q10*'Pesos finales'!$B$22+R10*'Pesos finales'!$B$23+'Pesos finales'!$B$27</f>
        <v/>
      </c>
      <c r="T10" s="7">
        <f>K10*'Pesos finales'!$C$16+L10*'Pesos finales'!$C$17+M10*'Pesos finales'!$C$18+N10*'Pesos finales'!$C$19+O10*'Pesos finales'!$C$20+P10*'Pesos finales'!$C$21+Q10*'Pesos finales'!$C$22+R10*'Pesos finales'!$C$23+'Pesos finales'!$C$27</f>
        <v/>
      </c>
      <c r="U10" s="7">
        <f>K10*'Pesos finales'!$D$16+L10*'Pesos finales'!$D$17+M10*'Pesos finales'!$D$18+N10*'Pesos finales'!$D$19+O10*'Pesos finales'!$D$20+P10*'Pesos finales'!$D$21+Q10*'Pesos finales'!$D$22+R10*'Pesos finales'!$D$23+'Pesos finales'!$D$27</f>
        <v/>
      </c>
      <c r="V10" s="7">
        <f>EXP(S10)/(EXP(S10)+EXP(T10)+EXP(U10))</f>
        <v/>
      </c>
      <c r="W10" s="7">
        <f>EXP(T10)/(EXP(S10)+EXP(T10)+EXP(U10))</f>
        <v/>
      </c>
      <c r="X10" s="7">
        <f>EXP(U10)/(EXP(S10)+EXP(T10)+EXP(U10))</f>
        <v/>
      </c>
      <c r="Y10">
        <f>IF(AND(V10&gt;=W10,V10&gt;=X10),"Iris-setosa",IF(AND(W10&gt;=X10),"Iris-versicolor","Iris-virginica"))</f>
        <v/>
      </c>
      <c r="Z10" t="inlineStr">
        <is>
          <t>Iris-setosa</t>
        </is>
      </c>
      <c r="AA10">
        <f>IF(Y10=Z10,"Sí","No")</f>
        <v/>
      </c>
      <c r="AB10" s="7" t="n">
        <v>0.997904720527821</v>
      </c>
      <c r="AC10" s="7" t="n">
        <v>0.002095190398518624</v>
      </c>
      <c r="AD10" s="7" t="n">
        <v>8.907366040470937e-08</v>
      </c>
      <c r="AE10" t="inlineStr">
        <is>
          <t>Iris-setosa</t>
        </is>
      </c>
      <c r="AF10" s="9">
        <f>MAX(ABS(V10-AB10),ABS(W10-AC10),ABS(X10-AD10))</f>
        <v/>
      </c>
      <c r="AG10">
        <f>IF(AND(Y10=AE10,AF10&lt;1E-9),"Sí","No")</f>
        <v/>
      </c>
    </row>
    <row r="11">
      <c r="A11" t="n">
        <v>5</v>
      </c>
      <c r="B11" t="inlineStr">
        <is>
          <t>entrenamiento</t>
        </is>
      </c>
      <c r="C11" t="n">
        <v>5</v>
      </c>
      <c r="D11" t="n">
        <v>3.6</v>
      </c>
      <c r="E11" t="n">
        <v>1.4</v>
      </c>
      <c r="F11" t="n">
        <v>0.2</v>
      </c>
      <c r="G11" s="7">
        <f>(C11-'Pesos finales'!$B$31)/'Pesos finales'!$B$32</f>
        <v/>
      </c>
      <c r="H11" s="7">
        <f>(D11-'Pesos finales'!$C$31)/'Pesos finales'!$C$32</f>
        <v/>
      </c>
      <c r="I11" s="7">
        <f>(E11-'Pesos finales'!$D$31)/'Pesos finales'!$D$32</f>
        <v/>
      </c>
      <c r="J11" s="7">
        <f>(F11-'Pesos finales'!$E$31)/'Pesos finales'!$E$32</f>
        <v/>
      </c>
      <c r="K11" s="7">
        <f>TANH(G11*'Pesos finales'!$B$5+H11*'Pesos finales'!$B$6+I11*'Pesos finales'!$B$7+J11*'Pesos finales'!$B$8+'Pesos finales'!$B$12)</f>
        <v/>
      </c>
      <c r="L11" s="7">
        <f>TANH(G11*'Pesos finales'!$C$5+H11*'Pesos finales'!$C$6+I11*'Pesos finales'!$C$7+J11*'Pesos finales'!$C$8+'Pesos finales'!$C$12)</f>
        <v/>
      </c>
      <c r="M11" s="7">
        <f>TANH(G11*'Pesos finales'!$D$5+H11*'Pesos finales'!$D$6+I11*'Pesos finales'!$D$7+J11*'Pesos finales'!$D$8+'Pesos finales'!$D$12)</f>
        <v/>
      </c>
      <c r="N11" s="7">
        <f>TANH(G11*'Pesos finales'!$E$5+H11*'Pesos finales'!$E$6+I11*'Pesos finales'!$E$7+J11*'Pesos finales'!$E$8+'Pesos finales'!$E$12)</f>
        <v/>
      </c>
      <c r="O11" s="7">
        <f>TANH(G11*'Pesos finales'!$F$5+H11*'Pesos finales'!$F$6+I11*'Pesos finales'!$F$7+J11*'Pesos finales'!$F$8+'Pesos finales'!$F$12)</f>
        <v/>
      </c>
      <c r="P11" s="7">
        <f>TANH(G11*'Pesos finales'!$G$5+H11*'Pesos finales'!$G$6+I11*'Pesos finales'!$G$7+J11*'Pesos finales'!$G$8+'Pesos finales'!$G$12)</f>
        <v/>
      </c>
      <c r="Q11" s="7">
        <f>TANH(G11*'Pesos finales'!$H$5+H11*'Pesos finales'!$H$6+I11*'Pesos finales'!$H$7+J11*'Pesos finales'!$H$8+'Pesos finales'!$H$12)</f>
        <v/>
      </c>
      <c r="R11" s="7">
        <f>TANH(G11*'Pesos finales'!$I$5+H11*'Pesos finales'!$I$6+I11*'Pesos finales'!$I$7+J11*'Pesos finales'!$I$8+'Pesos finales'!$I$12)</f>
        <v/>
      </c>
      <c r="S11" s="7">
        <f>K11*'Pesos finales'!$B$16+L11*'Pesos finales'!$B$17+M11*'Pesos finales'!$B$18+N11*'Pesos finales'!$B$19+O11*'Pesos finales'!$B$20+P11*'Pesos finales'!$B$21+Q11*'Pesos finales'!$B$22+R11*'Pesos finales'!$B$23+'Pesos finales'!$B$27</f>
        <v/>
      </c>
      <c r="T11" s="7">
        <f>K11*'Pesos finales'!$C$16+L11*'Pesos finales'!$C$17+M11*'Pesos finales'!$C$18+N11*'Pesos finales'!$C$19+O11*'Pesos finales'!$C$20+P11*'Pesos finales'!$C$21+Q11*'Pesos finales'!$C$22+R11*'Pesos finales'!$C$23+'Pesos finales'!$C$27</f>
        <v/>
      </c>
      <c r="U11" s="7">
        <f>K11*'Pesos finales'!$D$16+L11*'Pesos finales'!$D$17+M11*'Pesos finales'!$D$18+N11*'Pesos finales'!$D$19+O11*'Pesos finales'!$D$20+P11*'Pesos finales'!$D$21+Q11*'Pesos finales'!$D$22+R11*'Pesos finales'!$D$23+'Pesos finales'!$D$27</f>
        <v/>
      </c>
      <c r="V11" s="7">
        <f>EXP(S11)/(EXP(S11)+EXP(T11)+EXP(U11))</f>
        <v/>
      </c>
      <c r="W11" s="7">
        <f>EXP(T11)/(EXP(S11)+EXP(T11)+EXP(U11))</f>
        <v/>
      </c>
      <c r="X11" s="7">
        <f>EXP(U11)/(EXP(S11)+EXP(T11)+EXP(U11))</f>
        <v/>
      </c>
      <c r="Y11">
        <f>IF(AND(V11&gt;=W11,V11&gt;=X11),"Iris-setosa",IF(AND(W11&gt;=X11),"Iris-versicolor","Iris-virginica"))</f>
        <v/>
      </c>
      <c r="Z11" t="inlineStr">
        <is>
          <t>Iris-setosa</t>
        </is>
      </c>
      <c r="AA11">
        <f>IF(Y11=Z11,"Sí","No")</f>
        <v/>
      </c>
      <c r="AB11" s="7" t="n">
        <v>0.9982932813007046</v>
      </c>
      <c r="AC11" s="7" t="n">
        <v>0.001706645439600531</v>
      </c>
      <c r="AD11" s="7" t="n">
        <v>7.325969491521802e-08</v>
      </c>
      <c r="AE11" t="inlineStr">
        <is>
          <t>Iris-setosa</t>
        </is>
      </c>
      <c r="AF11" s="9">
        <f>MAX(ABS(V11-AB11),ABS(W11-AC11),ABS(X11-AD11))</f>
        <v/>
      </c>
      <c r="AG11">
        <f>IF(AND(Y11=AE11,AF11&lt;1E-9),"Sí","No")</f>
        <v/>
      </c>
    </row>
    <row r="12">
      <c r="A12" t="n">
        <v>6</v>
      </c>
      <c r="B12" t="inlineStr">
        <is>
          <t>prueba</t>
        </is>
      </c>
      <c r="C12" t="n">
        <v>5.4</v>
      </c>
      <c r="D12" t="n">
        <v>3.9</v>
      </c>
      <c r="E12" t="n">
        <v>1.7</v>
      </c>
      <c r="F12" t="n">
        <v>0.4</v>
      </c>
      <c r="G12" s="7">
        <f>(C12-'Pesos finales'!$B$31)/'Pesos finales'!$B$32</f>
        <v/>
      </c>
      <c r="H12" s="7">
        <f>(D12-'Pesos finales'!$C$31)/'Pesos finales'!$C$32</f>
        <v/>
      </c>
      <c r="I12" s="7">
        <f>(E12-'Pesos finales'!$D$31)/'Pesos finales'!$D$32</f>
        <v/>
      </c>
      <c r="J12" s="7">
        <f>(F12-'Pesos finales'!$E$31)/'Pesos finales'!$E$32</f>
        <v/>
      </c>
      <c r="K12" s="7">
        <f>TANH(G12*'Pesos finales'!$B$5+H12*'Pesos finales'!$B$6+I12*'Pesos finales'!$B$7+J12*'Pesos finales'!$B$8+'Pesos finales'!$B$12)</f>
        <v/>
      </c>
      <c r="L12" s="7">
        <f>TANH(G12*'Pesos finales'!$C$5+H12*'Pesos finales'!$C$6+I12*'Pesos finales'!$C$7+J12*'Pesos finales'!$C$8+'Pesos finales'!$C$12)</f>
        <v/>
      </c>
      <c r="M12" s="7">
        <f>TANH(G12*'Pesos finales'!$D$5+H12*'Pesos finales'!$D$6+I12*'Pesos finales'!$D$7+J12*'Pesos finales'!$D$8+'Pesos finales'!$D$12)</f>
        <v/>
      </c>
      <c r="N12" s="7">
        <f>TANH(G12*'Pesos finales'!$E$5+H12*'Pesos finales'!$E$6+I12*'Pesos finales'!$E$7+J12*'Pesos finales'!$E$8+'Pesos finales'!$E$12)</f>
        <v/>
      </c>
      <c r="O12" s="7">
        <f>TANH(G12*'Pesos finales'!$F$5+H12*'Pesos finales'!$F$6+I12*'Pesos finales'!$F$7+J12*'Pesos finales'!$F$8+'Pesos finales'!$F$12)</f>
        <v/>
      </c>
      <c r="P12" s="7">
        <f>TANH(G12*'Pesos finales'!$G$5+H12*'Pesos finales'!$G$6+I12*'Pesos finales'!$G$7+J12*'Pesos finales'!$G$8+'Pesos finales'!$G$12)</f>
        <v/>
      </c>
      <c r="Q12" s="7">
        <f>TANH(G12*'Pesos finales'!$H$5+H12*'Pesos finales'!$H$6+I12*'Pesos finales'!$H$7+J12*'Pesos finales'!$H$8+'Pesos finales'!$H$12)</f>
        <v/>
      </c>
      <c r="R12" s="7">
        <f>TANH(G12*'Pesos finales'!$I$5+H12*'Pesos finales'!$I$6+I12*'Pesos finales'!$I$7+J12*'Pesos finales'!$I$8+'Pesos finales'!$I$12)</f>
        <v/>
      </c>
      <c r="S12" s="7">
        <f>K12*'Pesos finales'!$B$16+L12*'Pesos finales'!$B$17+M12*'Pesos finales'!$B$18+N12*'Pesos finales'!$B$19+O12*'Pesos finales'!$B$20+P12*'Pesos finales'!$B$21+Q12*'Pesos finales'!$B$22+R12*'Pesos finales'!$B$23+'Pesos finales'!$B$27</f>
        <v/>
      </c>
      <c r="T12" s="7">
        <f>K12*'Pesos finales'!$C$16+L12*'Pesos finales'!$C$17+M12*'Pesos finales'!$C$18+N12*'Pesos finales'!$C$19+O12*'Pesos finales'!$C$20+P12*'Pesos finales'!$C$21+Q12*'Pesos finales'!$C$22+R12*'Pesos finales'!$C$23+'Pesos finales'!$C$27</f>
        <v/>
      </c>
      <c r="U12" s="7">
        <f>K12*'Pesos finales'!$D$16+L12*'Pesos finales'!$D$17+M12*'Pesos finales'!$D$18+N12*'Pesos finales'!$D$19+O12*'Pesos finales'!$D$20+P12*'Pesos finales'!$D$21+Q12*'Pesos finales'!$D$22+R12*'Pesos finales'!$D$23+'Pesos finales'!$D$27</f>
        <v/>
      </c>
      <c r="V12" s="7">
        <f>EXP(S12)/(EXP(S12)+EXP(T12)+EXP(U12))</f>
        <v/>
      </c>
      <c r="W12" s="7">
        <f>EXP(T12)/(EXP(S12)+EXP(T12)+EXP(U12))</f>
        <v/>
      </c>
      <c r="X12" s="7">
        <f>EXP(U12)/(EXP(S12)+EXP(T12)+EXP(U12))</f>
        <v/>
      </c>
      <c r="Y12">
        <f>IF(AND(V12&gt;=W12,V12&gt;=X12),"Iris-setosa",IF(AND(W12&gt;=X12),"Iris-versicolor","Iris-virginica"))</f>
        <v/>
      </c>
      <c r="Z12" t="inlineStr">
        <is>
          <t>Iris-setosa</t>
        </is>
      </c>
      <c r="AA12">
        <f>IF(Y12=Z12,"Sí","No")</f>
        <v/>
      </c>
      <c r="AB12" s="7" t="n">
        <v>0.9982336970337106</v>
      </c>
      <c r="AC12" s="7" t="n">
        <v>0.001766221929830242</v>
      </c>
      <c r="AD12" s="7" t="n">
        <v>8.103645923199176e-08</v>
      </c>
      <c r="AE12" t="inlineStr">
        <is>
          <t>Iris-setosa</t>
        </is>
      </c>
      <c r="AF12" s="9">
        <f>MAX(ABS(V12-AB12),ABS(W12-AC12),ABS(X12-AD12))</f>
        <v/>
      </c>
      <c r="AG12">
        <f>IF(AND(Y12=AE12,AF12&lt;1E-9),"Sí","No")</f>
        <v/>
      </c>
    </row>
    <row r="13">
      <c r="A13" t="n">
        <v>7</v>
      </c>
      <c r="B13" t="inlineStr">
        <is>
          <t>entrenamiento</t>
        </is>
      </c>
      <c r="C13" t="n">
        <v>4.6</v>
      </c>
      <c r="D13" t="n">
        <v>3.4</v>
      </c>
      <c r="E13" t="n">
        <v>1.4</v>
      </c>
      <c r="F13" t="n">
        <v>0.3</v>
      </c>
      <c r="G13" s="7">
        <f>(C13-'Pesos finales'!$B$31)/'Pesos finales'!$B$32</f>
        <v/>
      </c>
      <c r="H13" s="7">
        <f>(D13-'Pesos finales'!$C$31)/'Pesos finales'!$C$32</f>
        <v/>
      </c>
      <c r="I13" s="7">
        <f>(E13-'Pesos finales'!$D$31)/'Pesos finales'!$D$32</f>
        <v/>
      </c>
      <c r="J13" s="7">
        <f>(F13-'Pesos finales'!$E$31)/'Pesos finales'!$E$32</f>
        <v/>
      </c>
      <c r="K13" s="7">
        <f>TANH(G13*'Pesos finales'!$B$5+H13*'Pesos finales'!$B$6+I13*'Pesos finales'!$B$7+J13*'Pesos finales'!$B$8+'Pesos finales'!$B$12)</f>
        <v/>
      </c>
      <c r="L13" s="7">
        <f>TANH(G13*'Pesos finales'!$C$5+H13*'Pesos finales'!$C$6+I13*'Pesos finales'!$C$7+J13*'Pesos finales'!$C$8+'Pesos finales'!$C$12)</f>
        <v/>
      </c>
      <c r="M13" s="7">
        <f>TANH(G13*'Pesos finales'!$D$5+H13*'Pesos finales'!$D$6+I13*'Pesos finales'!$D$7+J13*'Pesos finales'!$D$8+'Pesos finales'!$D$12)</f>
        <v/>
      </c>
      <c r="N13" s="7">
        <f>TANH(G13*'Pesos finales'!$E$5+H13*'Pesos finales'!$E$6+I13*'Pesos finales'!$E$7+J13*'Pesos finales'!$E$8+'Pesos finales'!$E$12)</f>
        <v/>
      </c>
      <c r="O13" s="7">
        <f>TANH(G13*'Pesos finales'!$F$5+H13*'Pesos finales'!$F$6+I13*'Pesos finales'!$F$7+J13*'Pesos finales'!$F$8+'Pesos finales'!$F$12)</f>
        <v/>
      </c>
      <c r="P13" s="7">
        <f>TANH(G13*'Pesos finales'!$G$5+H13*'Pesos finales'!$G$6+I13*'Pesos finales'!$G$7+J13*'Pesos finales'!$G$8+'Pesos finales'!$G$12)</f>
        <v/>
      </c>
      <c r="Q13" s="7">
        <f>TANH(G13*'Pesos finales'!$H$5+H13*'Pesos finales'!$H$6+I13*'Pesos finales'!$H$7+J13*'Pesos finales'!$H$8+'Pesos finales'!$H$12)</f>
        <v/>
      </c>
      <c r="R13" s="7">
        <f>TANH(G13*'Pesos finales'!$I$5+H13*'Pesos finales'!$I$6+I13*'Pesos finales'!$I$7+J13*'Pesos finales'!$I$8+'Pesos finales'!$I$12)</f>
        <v/>
      </c>
      <c r="S13" s="7">
        <f>K13*'Pesos finales'!$B$16+L13*'Pesos finales'!$B$17+M13*'Pesos finales'!$B$18+N13*'Pesos finales'!$B$19+O13*'Pesos finales'!$B$20+P13*'Pesos finales'!$B$21+Q13*'Pesos finales'!$B$22+R13*'Pesos finales'!$B$23+'Pesos finales'!$B$27</f>
        <v/>
      </c>
      <c r="T13" s="7">
        <f>K13*'Pesos finales'!$C$16+L13*'Pesos finales'!$C$17+M13*'Pesos finales'!$C$18+N13*'Pesos finales'!$C$19+O13*'Pesos finales'!$C$20+P13*'Pesos finales'!$C$21+Q13*'Pesos finales'!$C$22+R13*'Pesos finales'!$C$23+'Pesos finales'!$C$27</f>
        <v/>
      </c>
      <c r="U13" s="7">
        <f>K13*'Pesos finales'!$D$16+L13*'Pesos finales'!$D$17+M13*'Pesos finales'!$D$18+N13*'Pesos finales'!$D$19+O13*'Pesos finales'!$D$20+P13*'Pesos finales'!$D$21+Q13*'Pesos finales'!$D$22+R13*'Pesos finales'!$D$23+'Pesos finales'!$D$27</f>
        <v/>
      </c>
      <c r="V13" s="7">
        <f>EXP(S13)/(EXP(S13)+EXP(T13)+EXP(U13))</f>
        <v/>
      </c>
      <c r="W13" s="7">
        <f>EXP(T13)/(EXP(S13)+EXP(T13)+EXP(U13))</f>
        <v/>
      </c>
      <c r="X13" s="7">
        <f>EXP(U13)/(EXP(S13)+EXP(T13)+EXP(U13))</f>
        <v/>
      </c>
      <c r="Y13">
        <f>IF(AND(V13&gt;=W13,V13&gt;=X13),"Iris-setosa",IF(AND(W13&gt;=X13),"Iris-versicolor","Iris-virginica"))</f>
        <v/>
      </c>
      <c r="Z13" t="inlineStr">
        <is>
          <t>Iris-setosa</t>
        </is>
      </c>
      <c r="AA13">
        <f>IF(Y13=Z13,"Sí","No")</f>
        <v/>
      </c>
      <c r="AB13" s="7" t="n">
        <v>0.9981975910116466</v>
      </c>
      <c r="AC13" s="7" t="n">
        <v>0.001802325771273879</v>
      </c>
      <c r="AD13" s="7" t="n">
        <v>8.321707943390286e-08</v>
      </c>
      <c r="AE13" t="inlineStr">
        <is>
          <t>Iris-setosa</t>
        </is>
      </c>
      <c r="AF13" s="9">
        <f>MAX(ABS(V13-AB13),ABS(W13-AC13),ABS(X13-AD13))</f>
        <v/>
      </c>
      <c r="AG13">
        <f>IF(AND(Y13=AE13,AF13&lt;1E-9),"Sí","No")</f>
        <v/>
      </c>
    </row>
    <row r="14">
      <c r="A14" t="n">
        <v>8</v>
      </c>
      <c r="B14" t="inlineStr">
        <is>
          <t>entrenamiento</t>
        </is>
      </c>
      <c r="C14" t="n">
        <v>5</v>
      </c>
      <c r="D14" t="n">
        <v>3.4</v>
      </c>
      <c r="E14" t="n">
        <v>1.5</v>
      </c>
      <c r="F14" t="n">
        <v>0.2</v>
      </c>
      <c r="G14" s="7">
        <f>(C14-'Pesos finales'!$B$31)/'Pesos finales'!$B$32</f>
        <v/>
      </c>
      <c r="H14" s="7">
        <f>(D14-'Pesos finales'!$C$31)/'Pesos finales'!$C$32</f>
        <v/>
      </c>
      <c r="I14" s="7">
        <f>(E14-'Pesos finales'!$D$31)/'Pesos finales'!$D$32</f>
        <v/>
      </c>
      <c r="J14" s="7">
        <f>(F14-'Pesos finales'!$E$31)/'Pesos finales'!$E$32</f>
        <v/>
      </c>
      <c r="K14" s="7">
        <f>TANH(G14*'Pesos finales'!$B$5+H14*'Pesos finales'!$B$6+I14*'Pesos finales'!$B$7+J14*'Pesos finales'!$B$8+'Pesos finales'!$B$12)</f>
        <v/>
      </c>
      <c r="L14" s="7">
        <f>TANH(G14*'Pesos finales'!$C$5+H14*'Pesos finales'!$C$6+I14*'Pesos finales'!$C$7+J14*'Pesos finales'!$C$8+'Pesos finales'!$C$12)</f>
        <v/>
      </c>
      <c r="M14" s="7">
        <f>TANH(G14*'Pesos finales'!$D$5+H14*'Pesos finales'!$D$6+I14*'Pesos finales'!$D$7+J14*'Pesos finales'!$D$8+'Pesos finales'!$D$12)</f>
        <v/>
      </c>
      <c r="N14" s="7">
        <f>TANH(G14*'Pesos finales'!$E$5+H14*'Pesos finales'!$E$6+I14*'Pesos finales'!$E$7+J14*'Pesos finales'!$E$8+'Pesos finales'!$E$12)</f>
        <v/>
      </c>
      <c r="O14" s="7">
        <f>TANH(G14*'Pesos finales'!$F$5+H14*'Pesos finales'!$F$6+I14*'Pesos finales'!$F$7+J14*'Pesos finales'!$F$8+'Pesos finales'!$F$12)</f>
        <v/>
      </c>
      <c r="P14" s="7">
        <f>TANH(G14*'Pesos finales'!$G$5+H14*'Pesos finales'!$G$6+I14*'Pesos finales'!$G$7+J14*'Pesos finales'!$G$8+'Pesos finales'!$G$12)</f>
        <v/>
      </c>
      <c r="Q14" s="7">
        <f>TANH(G14*'Pesos finales'!$H$5+H14*'Pesos finales'!$H$6+I14*'Pesos finales'!$H$7+J14*'Pesos finales'!$H$8+'Pesos finales'!$H$12)</f>
        <v/>
      </c>
      <c r="R14" s="7">
        <f>TANH(G14*'Pesos finales'!$I$5+H14*'Pesos finales'!$I$6+I14*'Pesos finales'!$I$7+J14*'Pesos finales'!$I$8+'Pesos finales'!$I$12)</f>
        <v/>
      </c>
      <c r="S14" s="7">
        <f>K14*'Pesos finales'!$B$16+L14*'Pesos finales'!$B$17+M14*'Pesos finales'!$B$18+N14*'Pesos finales'!$B$19+O14*'Pesos finales'!$B$20+P14*'Pesos finales'!$B$21+Q14*'Pesos finales'!$B$22+R14*'Pesos finales'!$B$23+'Pesos finales'!$B$27</f>
        <v/>
      </c>
      <c r="T14" s="7">
        <f>K14*'Pesos finales'!$C$16+L14*'Pesos finales'!$C$17+M14*'Pesos finales'!$C$18+N14*'Pesos finales'!$C$19+O14*'Pesos finales'!$C$20+P14*'Pesos finales'!$C$21+Q14*'Pesos finales'!$C$22+R14*'Pesos finales'!$C$23+'Pesos finales'!$C$27</f>
        <v/>
      </c>
      <c r="U14" s="7">
        <f>K14*'Pesos finales'!$D$16+L14*'Pesos finales'!$D$17+M14*'Pesos finales'!$D$18+N14*'Pesos finales'!$D$19+O14*'Pesos finales'!$D$20+P14*'Pesos finales'!$D$21+Q14*'Pesos finales'!$D$22+R14*'Pesos finales'!$D$23+'Pesos finales'!$D$27</f>
        <v/>
      </c>
      <c r="V14" s="7">
        <f>EXP(S14)/(EXP(S14)+EXP(T14)+EXP(U14))</f>
        <v/>
      </c>
      <c r="W14" s="7">
        <f>EXP(T14)/(EXP(S14)+EXP(T14)+EXP(U14))</f>
        <v/>
      </c>
      <c r="X14" s="7">
        <f>EXP(U14)/(EXP(S14)+EXP(T14)+EXP(U14))</f>
        <v/>
      </c>
      <c r="Y14">
        <f>IF(AND(V14&gt;=W14,V14&gt;=X14),"Iris-setosa",IF(AND(W14&gt;=X14),"Iris-versicolor","Iris-virginica"))</f>
        <v/>
      </c>
      <c r="Z14" t="inlineStr">
        <is>
          <t>Iris-setosa</t>
        </is>
      </c>
      <c r="AA14">
        <f>IF(Y14=Z14,"Sí","No")</f>
        <v/>
      </c>
      <c r="AB14" s="7" t="n">
        <v>0.998113048880895</v>
      </c>
      <c r="AC14" s="7" t="n">
        <v>0.001886871864504339</v>
      </c>
      <c r="AD14" s="7" t="n">
        <v>7.925460067590981e-08</v>
      </c>
      <c r="AE14" t="inlineStr">
        <is>
          <t>Iris-setosa</t>
        </is>
      </c>
      <c r="AF14" s="9">
        <f>MAX(ABS(V14-AB14),ABS(W14-AC14),ABS(X14-AD14))</f>
        <v/>
      </c>
      <c r="AG14">
        <f>IF(AND(Y14=AE14,AF14&lt;1E-9),"Sí","No")</f>
        <v/>
      </c>
    </row>
    <row r="15">
      <c r="A15" t="n">
        <v>9</v>
      </c>
      <c r="B15" t="inlineStr">
        <is>
          <t>entrenamiento</t>
        </is>
      </c>
      <c r="C15" t="n">
        <v>4.4</v>
      </c>
      <c r="D15" t="n">
        <v>2.9</v>
      </c>
      <c r="E15" t="n">
        <v>1.4</v>
      </c>
      <c r="F15" t="n">
        <v>0.2</v>
      </c>
      <c r="G15" s="7">
        <f>(C15-'Pesos finales'!$B$31)/'Pesos finales'!$B$32</f>
        <v/>
      </c>
      <c r="H15" s="7">
        <f>(D15-'Pesos finales'!$C$31)/'Pesos finales'!$C$32</f>
        <v/>
      </c>
      <c r="I15" s="7">
        <f>(E15-'Pesos finales'!$D$31)/'Pesos finales'!$D$32</f>
        <v/>
      </c>
      <c r="J15" s="7">
        <f>(F15-'Pesos finales'!$E$31)/'Pesos finales'!$E$32</f>
        <v/>
      </c>
      <c r="K15" s="7">
        <f>TANH(G15*'Pesos finales'!$B$5+H15*'Pesos finales'!$B$6+I15*'Pesos finales'!$B$7+J15*'Pesos finales'!$B$8+'Pesos finales'!$B$12)</f>
        <v/>
      </c>
      <c r="L15" s="7">
        <f>TANH(G15*'Pesos finales'!$C$5+H15*'Pesos finales'!$C$6+I15*'Pesos finales'!$C$7+J15*'Pesos finales'!$C$8+'Pesos finales'!$C$12)</f>
        <v/>
      </c>
      <c r="M15" s="7">
        <f>TANH(G15*'Pesos finales'!$D$5+H15*'Pesos finales'!$D$6+I15*'Pesos finales'!$D$7+J15*'Pesos finales'!$D$8+'Pesos finales'!$D$12)</f>
        <v/>
      </c>
      <c r="N15" s="7">
        <f>TANH(G15*'Pesos finales'!$E$5+H15*'Pesos finales'!$E$6+I15*'Pesos finales'!$E$7+J15*'Pesos finales'!$E$8+'Pesos finales'!$E$12)</f>
        <v/>
      </c>
      <c r="O15" s="7">
        <f>TANH(G15*'Pesos finales'!$F$5+H15*'Pesos finales'!$F$6+I15*'Pesos finales'!$F$7+J15*'Pesos finales'!$F$8+'Pesos finales'!$F$12)</f>
        <v/>
      </c>
      <c r="P15" s="7">
        <f>TANH(G15*'Pesos finales'!$G$5+H15*'Pesos finales'!$G$6+I15*'Pesos finales'!$G$7+J15*'Pesos finales'!$G$8+'Pesos finales'!$G$12)</f>
        <v/>
      </c>
      <c r="Q15" s="7">
        <f>TANH(G15*'Pesos finales'!$H$5+H15*'Pesos finales'!$H$6+I15*'Pesos finales'!$H$7+J15*'Pesos finales'!$H$8+'Pesos finales'!$H$12)</f>
        <v/>
      </c>
      <c r="R15" s="7">
        <f>TANH(G15*'Pesos finales'!$I$5+H15*'Pesos finales'!$I$6+I15*'Pesos finales'!$I$7+J15*'Pesos finales'!$I$8+'Pesos finales'!$I$12)</f>
        <v/>
      </c>
      <c r="S15" s="7">
        <f>K15*'Pesos finales'!$B$16+L15*'Pesos finales'!$B$17+M15*'Pesos finales'!$B$18+N15*'Pesos finales'!$B$19+O15*'Pesos finales'!$B$20+P15*'Pesos finales'!$B$21+Q15*'Pesos finales'!$B$22+R15*'Pesos finales'!$B$23+'Pesos finales'!$B$27</f>
        <v/>
      </c>
      <c r="T15" s="7">
        <f>K15*'Pesos finales'!$C$16+L15*'Pesos finales'!$C$17+M15*'Pesos finales'!$C$18+N15*'Pesos finales'!$C$19+O15*'Pesos finales'!$C$20+P15*'Pesos finales'!$C$21+Q15*'Pesos finales'!$C$22+R15*'Pesos finales'!$C$23+'Pesos finales'!$C$27</f>
        <v/>
      </c>
      <c r="U15" s="7">
        <f>K15*'Pesos finales'!$D$16+L15*'Pesos finales'!$D$17+M15*'Pesos finales'!$D$18+N15*'Pesos finales'!$D$19+O15*'Pesos finales'!$D$20+P15*'Pesos finales'!$D$21+Q15*'Pesos finales'!$D$22+R15*'Pesos finales'!$D$23+'Pesos finales'!$D$27</f>
        <v/>
      </c>
      <c r="V15" s="7">
        <f>EXP(S15)/(EXP(S15)+EXP(T15)+EXP(U15))</f>
        <v/>
      </c>
      <c r="W15" s="7">
        <f>EXP(T15)/(EXP(S15)+EXP(T15)+EXP(U15))</f>
        <v/>
      </c>
      <c r="X15" s="7">
        <f>EXP(U15)/(EXP(S15)+EXP(T15)+EXP(U15))</f>
        <v/>
      </c>
      <c r="Y15">
        <f>IF(AND(V15&gt;=W15,V15&gt;=X15),"Iris-setosa",IF(AND(W15&gt;=X15),"Iris-versicolor","Iris-virginica"))</f>
        <v/>
      </c>
      <c r="Z15" t="inlineStr">
        <is>
          <t>Iris-setosa</t>
        </is>
      </c>
      <c r="AA15">
        <f>IF(Y15=Z15,"Sí","No")</f>
        <v/>
      </c>
      <c r="AB15" s="7" t="n">
        <v>0.9977383938015644</v>
      </c>
      <c r="AC15" s="7" t="n">
        <v>0.002261510796518758</v>
      </c>
      <c r="AD15" s="7" t="n">
        <v>9.540191689627279e-08</v>
      </c>
      <c r="AE15" t="inlineStr">
        <is>
          <t>Iris-setosa</t>
        </is>
      </c>
      <c r="AF15" s="9">
        <f>MAX(ABS(V15-AB15),ABS(W15-AC15),ABS(X15-AD15))</f>
        <v/>
      </c>
      <c r="AG15">
        <f>IF(AND(Y15=AE15,AF15&lt;1E-9),"Sí","No")</f>
        <v/>
      </c>
    </row>
    <row r="16">
      <c r="A16" t="n">
        <v>10</v>
      </c>
      <c r="B16" t="inlineStr">
        <is>
          <t>entrenamiento</t>
        </is>
      </c>
      <c r="C16" t="n">
        <v>4.9</v>
      </c>
      <c r="D16" t="n">
        <v>3.1</v>
      </c>
      <c r="E16" t="n">
        <v>1.5</v>
      </c>
      <c r="F16" t="n">
        <v>0.1</v>
      </c>
      <c r="G16" s="7">
        <f>(C16-'Pesos finales'!$B$31)/'Pesos finales'!$B$32</f>
        <v/>
      </c>
      <c r="H16" s="7">
        <f>(D16-'Pesos finales'!$C$31)/'Pesos finales'!$C$32</f>
        <v/>
      </c>
      <c r="I16" s="7">
        <f>(E16-'Pesos finales'!$D$31)/'Pesos finales'!$D$32</f>
        <v/>
      </c>
      <c r="J16" s="7">
        <f>(F16-'Pesos finales'!$E$31)/'Pesos finales'!$E$32</f>
        <v/>
      </c>
      <c r="K16" s="7">
        <f>TANH(G16*'Pesos finales'!$B$5+H16*'Pesos finales'!$B$6+I16*'Pesos finales'!$B$7+J16*'Pesos finales'!$B$8+'Pesos finales'!$B$12)</f>
        <v/>
      </c>
      <c r="L16" s="7">
        <f>TANH(G16*'Pesos finales'!$C$5+H16*'Pesos finales'!$C$6+I16*'Pesos finales'!$C$7+J16*'Pesos finales'!$C$8+'Pesos finales'!$C$12)</f>
        <v/>
      </c>
      <c r="M16" s="7">
        <f>TANH(G16*'Pesos finales'!$D$5+H16*'Pesos finales'!$D$6+I16*'Pesos finales'!$D$7+J16*'Pesos finales'!$D$8+'Pesos finales'!$D$12)</f>
        <v/>
      </c>
      <c r="N16" s="7">
        <f>TANH(G16*'Pesos finales'!$E$5+H16*'Pesos finales'!$E$6+I16*'Pesos finales'!$E$7+J16*'Pesos finales'!$E$8+'Pesos finales'!$E$12)</f>
        <v/>
      </c>
      <c r="O16" s="7">
        <f>TANH(G16*'Pesos finales'!$F$5+H16*'Pesos finales'!$F$6+I16*'Pesos finales'!$F$7+J16*'Pesos finales'!$F$8+'Pesos finales'!$F$12)</f>
        <v/>
      </c>
      <c r="P16" s="7">
        <f>TANH(G16*'Pesos finales'!$G$5+H16*'Pesos finales'!$G$6+I16*'Pesos finales'!$G$7+J16*'Pesos finales'!$G$8+'Pesos finales'!$G$12)</f>
        <v/>
      </c>
      <c r="Q16" s="7">
        <f>TANH(G16*'Pesos finales'!$H$5+H16*'Pesos finales'!$H$6+I16*'Pesos finales'!$H$7+J16*'Pesos finales'!$H$8+'Pesos finales'!$H$12)</f>
        <v/>
      </c>
      <c r="R16" s="7">
        <f>TANH(G16*'Pesos finales'!$I$5+H16*'Pesos finales'!$I$6+I16*'Pesos finales'!$I$7+J16*'Pesos finales'!$I$8+'Pesos finales'!$I$12)</f>
        <v/>
      </c>
      <c r="S16" s="7">
        <f>K16*'Pesos finales'!$B$16+L16*'Pesos finales'!$B$17+M16*'Pesos finales'!$B$18+N16*'Pesos finales'!$B$19+O16*'Pesos finales'!$B$20+P16*'Pesos finales'!$B$21+Q16*'Pesos finales'!$B$22+R16*'Pesos finales'!$B$23+'Pesos finales'!$B$27</f>
        <v/>
      </c>
      <c r="T16" s="7">
        <f>K16*'Pesos finales'!$C$16+L16*'Pesos finales'!$C$17+M16*'Pesos finales'!$C$18+N16*'Pesos finales'!$C$19+O16*'Pesos finales'!$C$20+P16*'Pesos finales'!$C$21+Q16*'Pesos finales'!$C$22+R16*'Pesos finales'!$C$23+'Pesos finales'!$C$27</f>
        <v/>
      </c>
      <c r="U16" s="7">
        <f>K16*'Pesos finales'!$D$16+L16*'Pesos finales'!$D$17+M16*'Pesos finales'!$D$18+N16*'Pesos finales'!$D$19+O16*'Pesos finales'!$D$20+P16*'Pesos finales'!$D$21+Q16*'Pesos finales'!$D$22+R16*'Pesos finales'!$D$23+'Pesos finales'!$D$27</f>
        <v/>
      </c>
      <c r="V16" s="7">
        <f>EXP(S16)/(EXP(S16)+EXP(T16)+EXP(U16))</f>
        <v/>
      </c>
      <c r="W16" s="7">
        <f>EXP(T16)/(EXP(S16)+EXP(T16)+EXP(U16))</f>
        <v/>
      </c>
      <c r="X16" s="7">
        <f>EXP(U16)/(EXP(S16)+EXP(T16)+EXP(U16))</f>
        <v/>
      </c>
      <c r="Y16">
        <f>IF(AND(V16&gt;=W16,V16&gt;=X16),"Iris-setosa",IF(AND(W16&gt;=X16),"Iris-versicolor","Iris-virginica"))</f>
        <v/>
      </c>
      <c r="Z16" t="inlineStr">
        <is>
          <t>Iris-setosa</t>
        </is>
      </c>
      <c r="AA16">
        <f>IF(Y16=Z16,"Sí","No")</f>
        <v/>
      </c>
      <c r="AB16" s="7" t="n">
        <v>0.9978366774165695</v>
      </c>
      <c r="AC16" s="7" t="n">
        <v>0.002163235861435314</v>
      </c>
      <c r="AD16" s="7" t="n">
        <v>8.672199527759374e-08</v>
      </c>
      <c r="AE16" t="inlineStr">
        <is>
          <t>Iris-setosa</t>
        </is>
      </c>
      <c r="AF16" s="9">
        <f>MAX(ABS(V16-AB16),ABS(W16-AC16),ABS(X16-AD16))</f>
        <v/>
      </c>
      <c r="AG16">
        <f>IF(AND(Y16=AE16,AF16&lt;1E-9),"Sí","No")</f>
        <v/>
      </c>
    </row>
    <row r="17">
      <c r="A17" t="n">
        <v>11</v>
      </c>
      <c r="B17" t="inlineStr">
        <is>
          <t>entrenamiento</t>
        </is>
      </c>
      <c r="C17" t="n">
        <v>5.4</v>
      </c>
      <c r="D17" t="n">
        <v>3.7</v>
      </c>
      <c r="E17" t="n">
        <v>1.5</v>
      </c>
      <c r="F17" t="n">
        <v>0.2</v>
      </c>
      <c r="G17" s="7">
        <f>(C17-'Pesos finales'!$B$31)/'Pesos finales'!$B$32</f>
        <v/>
      </c>
      <c r="H17" s="7">
        <f>(D17-'Pesos finales'!$C$31)/'Pesos finales'!$C$32</f>
        <v/>
      </c>
      <c r="I17" s="7">
        <f>(E17-'Pesos finales'!$D$31)/'Pesos finales'!$D$32</f>
        <v/>
      </c>
      <c r="J17" s="7">
        <f>(F17-'Pesos finales'!$E$31)/'Pesos finales'!$E$32</f>
        <v/>
      </c>
      <c r="K17" s="7">
        <f>TANH(G17*'Pesos finales'!$B$5+H17*'Pesos finales'!$B$6+I17*'Pesos finales'!$B$7+J17*'Pesos finales'!$B$8+'Pesos finales'!$B$12)</f>
        <v/>
      </c>
      <c r="L17" s="7">
        <f>TANH(G17*'Pesos finales'!$C$5+H17*'Pesos finales'!$C$6+I17*'Pesos finales'!$C$7+J17*'Pesos finales'!$C$8+'Pesos finales'!$C$12)</f>
        <v/>
      </c>
      <c r="M17" s="7">
        <f>TANH(G17*'Pesos finales'!$D$5+H17*'Pesos finales'!$D$6+I17*'Pesos finales'!$D$7+J17*'Pesos finales'!$D$8+'Pesos finales'!$D$12)</f>
        <v/>
      </c>
      <c r="N17" s="7">
        <f>TANH(G17*'Pesos finales'!$E$5+H17*'Pesos finales'!$E$6+I17*'Pesos finales'!$E$7+J17*'Pesos finales'!$E$8+'Pesos finales'!$E$12)</f>
        <v/>
      </c>
      <c r="O17" s="7">
        <f>TANH(G17*'Pesos finales'!$F$5+H17*'Pesos finales'!$F$6+I17*'Pesos finales'!$F$7+J17*'Pesos finales'!$F$8+'Pesos finales'!$F$12)</f>
        <v/>
      </c>
      <c r="P17" s="7">
        <f>TANH(G17*'Pesos finales'!$G$5+H17*'Pesos finales'!$G$6+I17*'Pesos finales'!$G$7+J17*'Pesos finales'!$G$8+'Pesos finales'!$G$12)</f>
        <v/>
      </c>
      <c r="Q17" s="7">
        <f>TANH(G17*'Pesos finales'!$H$5+H17*'Pesos finales'!$H$6+I17*'Pesos finales'!$H$7+J17*'Pesos finales'!$H$8+'Pesos finales'!$H$12)</f>
        <v/>
      </c>
      <c r="R17" s="7">
        <f>TANH(G17*'Pesos finales'!$I$5+H17*'Pesos finales'!$I$6+I17*'Pesos finales'!$I$7+J17*'Pesos finales'!$I$8+'Pesos finales'!$I$12)</f>
        <v/>
      </c>
      <c r="S17" s="7">
        <f>K17*'Pesos finales'!$B$16+L17*'Pesos finales'!$B$17+M17*'Pesos finales'!$B$18+N17*'Pesos finales'!$B$19+O17*'Pesos finales'!$B$20+P17*'Pesos finales'!$B$21+Q17*'Pesos finales'!$B$22+R17*'Pesos finales'!$B$23+'Pesos finales'!$B$27</f>
        <v/>
      </c>
      <c r="T17" s="7">
        <f>K17*'Pesos finales'!$C$16+L17*'Pesos finales'!$C$17+M17*'Pesos finales'!$C$18+N17*'Pesos finales'!$C$19+O17*'Pesos finales'!$C$20+P17*'Pesos finales'!$C$21+Q17*'Pesos finales'!$C$22+R17*'Pesos finales'!$C$23+'Pesos finales'!$C$27</f>
        <v/>
      </c>
      <c r="U17" s="7">
        <f>K17*'Pesos finales'!$D$16+L17*'Pesos finales'!$D$17+M17*'Pesos finales'!$D$18+N17*'Pesos finales'!$D$19+O17*'Pesos finales'!$D$20+P17*'Pesos finales'!$D$21+Q17*'Pesos finales'!$D$22+R17*'Pesos finales'!$D$23+'Pesos finales'!$D$27</f>
        <v/>
      </c>
      <c r="V17" s="7">
        <f>EXP(S17)/(EXP(S17)+EXP(T17)+EXP(U17))</f>
        <v/>
      </c>
      <c r="W17" s="7">
        <f>EXP(T17)/(EXP(S17)+EXP(T17)+EXP(U17))</f>
        <v/>
      </c>
      <c r="X17" s="7">
        <f>EXP(U17)/(EXP(S17)+EXP(T17)+EXP(U17))</f>
        <v/>
      </c>
      <c r="Y17">
        <f>IF(AND(V17&gt;=W17,V17&gt;=X17),"Iris-setosa",IF(AND(W17&gt;=X17),"Iris-versicolor","Iris-virginica"))</f>
        <v/>
      </c>
      <c r="Z17" t="inlineStr">
        <is>
          <t>Iris-setosa</t>
        </is>
      </c>
      <c r="AA17">
        <f>IF(Y17=Z17,"Sí","No")</f>
        <v/>
      </c>
      <c r="AB17" s="7" t="n">
        <v>0.9982483377707335</v>
      </c>
      <c r="AC17" s="7" t="n">
        <v>0.001751589452936691</v>
      </c>
      <c r="AD17" s="7" t="n">
        <v>7.277632983259539e-08</v>
      </c>
      <c r="AE17" t="inlineStr">
        <is>
          <t>Iris-setosa</t>
        </is>
      </c>
      <c r="AF17" s="9">
        <f>MAX(ABS(V17-AB17),ABS(W17-AC17),ABS(X17-AD17))</f>
        <v/>
      </c>
      <c r="AG17">
        <f>IF(AND(Y17=AE17,AF17&lt;1E-9),"Sí","No")</f>
        <v/>
      </c>
    </row>
    <row r="18">
      <c r="A18" t="n">
        <v>12</v>
      </c>
      <c r="B18" t="inlineStr">
        <is>
          <t>entrenamiento</t>
        </is>
      </c>
      <c r="C18" t="n">
        <v>4.8</v>
      </c>
      <c r="D18" t="n">
        <v>3.4</v>
      </c>
      <c r="E18" t="n">
        <v>1.6</v>
      </c>
      <c r="F18" t="n">
        <v>0.2</v>
      </c>
      <c r="G18" s="7">
        <f>(C18-'Pesos finales'!$B$31)/'Pesos finales'!$B$32</f>
        <v/>
      </c>
      <c r="H18" s="7">
        <f>(D18-'Pesos finales'!$C$31)/'Pesos finales'!$C$32</f>
        <v/>
      </c>
      <c r="I18" s="7">
        <f>(E18-'Pesos finales'!$D$31)/'Pesos finales'!$D$32</f>
        <v/>
      </c>
      <c r="J18" s="7">
        <f>(F18-'Pesos finales'!$E$31)/'Pesos finales'!$E$32</f>
        <v/>
      </c>
      <c r="K18" s="7">
        <f>TANH(G18*'Pesos finales'!$B$5+H18*'Pesos finales'!$B$6+I18*'Pesos finales'!$B$7+J18*'Pesos finales'!$B$8+'Pesos finales'!$B$12)</f>
        <v/>
      </c>
      <c r="L18" s="7">
        <f>TANH(G18*'Pesos finales'!$C$5+H18*'Pesos finales'!$C$6+I18*'Pesos finales'!$C$7+J18*'Pesos finales'!$C$8+'Pesos finales'!$C$12)</f>
        <v/>
      </c>
      <c r="M18" s="7">
        <f>TANH(G18*'Pesos finales'!$D$5+H18*'Pesos finales'!$D$6+I18*'Pesos finales'!$D$7+J18*'Pesos finales'!$D$8+'Pesos finales'!$D$12)</f>
        <v/>
      </c>
      <c r="N18" s="7">
        <f>TANH(G18*'Pesos finales'!$E$5+H18*'Pesos finales'!$E$6+I18*'Pesos finales'!$E$7+J18*'Pesos finales'!$E$8+'Pesos finales'!$E$12)</f>
        <v/>
      </c>
      <c r="O18" s="7">
        <f>TANH(G18*'Pesos finales'!$F$5+H18*'Pesos finales'!$F$6+I18*'Pesos finales'!$F$7+J18*'Pesos finales'!$F$8+'Pesos finales'!$F$12)</f>
        <v/>
      </c>
      <c r="P18" s="7">
        <f>TANH(G18*'Pesos finales'!$G$5+H18*'Pesos finales'!$G$6+I18*'Pesos finales'!$G$7+J18*'Pesos finales'!$G$8+'Pesos finales'!$G$12)</f>
        <v/>
      </c>
      <c r="Q18" s="7">
        <f>TANH(G18*'Pesos finales'!$H$5+H18*'Pesos finales'!$H$6+I18*'Pesos finales'!$H$7+J18*'Pesos finales'!$H$8+'Pesos finales'!$H$12)</f>
        <v/>
      </c>
      <c r="R18" s="7">
        <f>TANH(G18*'Pesos finales'!$I$5+H18*'Pesos finales'!$I$6+I18*'Pesos finales'!$I$7+J18*'Pesos finales'!$I$8+'Pesos finales'!$I$12)</f>
        <v/>
      </c>
      <c r="S18" s="7">
        <f>K18*'Pesos finales'!$B$16+L18*'Pesos finales'!$B$17+M18*'Pesos finales'!$B$18+N18*'Pesos finales'!$B$19+O18*'Pesos finales'!$B$20+P18*'Pesos finales'!$B$21+Q18*'Pesos finales'!$B$22+R18*'Pesos finales'!$B$23+'Pesos finales'!$B$27</f>
        <v/>
      </c>
      <c r="T18" s="7">
        <f>K18*'Pesos finales'!$C$16+L18*'Pesos finales'!$C$17+M18*'Pesos finales'!$C$18+N18*'Pesos finales'!$C$19+O18*'Pesos finales'!$C$20+P18*'Pesos finales'!$C$21+Q18*'Pesos finales'!$C$22+R18*'Pesos finales'!$C$23+'Pesos finales'!$C$27</f>
        <v/>
      </c>
      <c r="U18" s="7">
        <f>K18*'Pesos finales'!$D$16+L18*'Pesos finales'!$D$17+M18*'Pesos finales'!$D$18+N18*'Pesos finales'!$D$19+O18*'Pesos finales'!$D$20+P18*'Pesos finales'!$D$21+Q18*'Pesos finales'!$D$22+R18*'Pesos finales'!$D$23+'Pesos finales'!$D$27</f>
        <v/>
      </c>
      <c r="V18" s="7">
        <f>EXP(S18)/(EXP(S18)+EXP(T18)+EXP(U18))</f>
        <v/>
      </c>
      <c r="W18" s="7">
        <f>EXP(T18)/(EXP(S18)+EXP(T18)+EXP(U18))</f>
        <v/>
      </c>
      <c r="X18" s="7">
        <f>EXP(U18)/(EXP(S18)+EXP(T18)+EXP(U18))</f>
        <v/>
      </c>
      <c r="Y18">
        <f>IF(AND(V18&gt;=W18,V18&gt;=X18),"Iris-setosa",IF(AND(W18&gt;=X18),"Iris-versicolor","Iris-virginica"))</f>
        <v/>
      </c>
      <c r="Z18" t="inlineStr">
        <is>
          <t>Iris-setosa</t>
        </is>
      </c>
      <c r="AA18">
        <f>IF(Y18=Z18,"Sí","No")</f>
        <v/>
      </c>
      <c r="AB18" s="7" t="n">
        <v>0.9981359372142709</v>
      </c>
      <c r="AC18" s="7" t="n">
        <v>0.001863981488305928</v>
      </c>
      <c r="AD18" s="7" t="n">
        <v>8.129742320905169e-08</v>
      </c>
      <c r="AE18" t="inlineStr">
        <is>
          <t>Iris-setosa</t>
        </is>
      </c>
      <c r="AF18" s="9">
        <f>MAX(ABS(V18-AB18),ABS(W18-AC18),ABS(X18-AD18))</f>
        <v/>
      </c>
      <c r="AG18">
        <f>IF(AND(Y18=AE18,AF18&lt;1E-9),"Sí","No")</f>
        <v/>
      </c>
    </row>
    <row r="19">
      <c r="A19" t="n">
        <v>13</v>
      </c>
      <c r="B19" t="inlineStr">
        <is>
          <t>entrenamiento</t>
        </is>
      </c>
      <c r="C19" t="n">
        <v>4.8</v>
      </c>
      <c r="D19" t="n">
        <v>3</v>
      </c>
      <c r="E19" t="n">
        <v>1.4</v>
      </c>
      <c r="F19" t="n">
        <v>0.1</v>
      </c>
      <c r="G19" s="7">
        <f>(C19-'Pesos finales'!$B$31)/'Pesos finales'!$B$32</f>
        <v/>
      </c>
      <c r="H19" s="7">
        <f>(D19-'Pesos finales'!$C$31)/'Pesos finales'!$C$32</f>
        <v/>
      </c>
      <c r="I19" s="7">
        <f>(E19-'Pesos finales'!$D$31)/'Pesos finales'!$D$32</f>
        <v/>
      </c>
      <c r="J19" s="7">
        <f>(F19-'Pesos finales'!$E$31)/'Pesos finales'!$E$32</f>
        <v/>
      </c>
      <c r="K19" s="7">
        <f>TANH(G19*'Pesos finales'!$B$5+H19*'Pesos finales'!$B$6+I19*'Pesos finales'!$B$7+J19*'Pesos finales'!$B$8+'Pesos finales'!$B$12)</f>
        <v/>
      </c>
      <c r="L19" s="7">
        <f>TANH(G19*'Pesos finales'!$C$5+H19*'Pesos finales'!$C$6+I19*'Pesos finales'!$C$7+J19*'Pesos finales'!$C$8+'Pesos finales'!$C$12)</f>
        <v/>
      </c>
      <c r="M19" s="7">
        <f>TANH(G19*'Pesos finales'!$D$5+H19*'Pesos finales'!$D$6+I19*'Pesos finales'!$D$7+J19*'Pesos finales'!$D$8+'Pesos finales'!$D$12)</f>
        <v/>
      </c>
      <c r="N19" s="7">
        <f>TANH(G19*'Pesos finales'!$E$5+H19*'Pesos finales'!$E$6+I19*'Pesos finales'!$E$7+J19*'Pesos finales'!$E$8+'Pesos finales'!$E$12)</f>
        <v/>
      </c>
      <c r="O19" s="7">
        <f>TANH(G19*'Pesos finales'!$F$5+H19*'Pesos finales'!$F$6+I19*'Pesos finales'!$F$7+J19*'Pesos finales'!$F$8+'Pesos finales'!$F$12)</f>
        <v/>
      </c>
      <c r="P19" s="7">
        <f>TANH(G19*'Pesos finales'!$G$5+H19*'Pesos finales'!$G$6+I19*'Pesos finales'!$G$7+J19*'Pesos finales'!$G$8+'Pesos finales'!$G$12)</f>
        <v/>
      </c>
      <c r="Q19" s="7">
        <f>TANH(G19*'Pesos finales'!$H$5+H19*'Pesos finales'!$H$6+I19*'Pesos finales'!$H$7+J19*'Pesos finales'!$H$8+'Pesos finales'!$H$12)</f>
        <v/>
      </c>
      <c r="R19" s="7">
        <f>TANH(G19*'Pesos finales'!$I$5+H19*'Pesos finales'!$I$6+I19*'Pesos finales'!$I$7+J19*'Pesos finales'!$I$8+'Pesos finales'!$I$12)</f>
        <v/>
      </c>
      <c r="S19" s="7">
        <f>K19*'Pesos finales'!$B$16+L19*'Pesos finales'!$B$17+M19*'Pesos finales'!$B$18+N19*'Pesos finales'!$B$19+O19*'Pesos finales'!$B$20+P19*'Pesos finales'!$B$21+Q19*'Pesos finales'!$B$22+R19*'Pesos finales'!$B$23+'Pesos finales'!$B$27</f>
        <v/>
      </c>
      <c r="T19" s="7">
        <f>K19*'Pesos finales'!$C$16+L19*'Pesos finales'!$C$17+M19*'Pesos finales'!$C$18+N19*'Pesos finales'!$C$19+O19*'Pesos finales'!$C$20+P19*'Pesos finales'!$C$21+Q19*'Pesos finales'!$C$22+R19*'Pesos finales'!$C$23+'Pesos finales'!$C$27</f>
        <v/>
      </c>
      <c r="U19" s="7">
        <f>K19*'Pesos finales'!$D$16+L19*'Pesos finales'!$D$17+M19*'Pesos finales'!$D$18+N19*'Pesos finales'!$D$19+O19*'Pesos finales'!$D$20+P19*'Pesos finales'!$D$21+Q19*'Pesos finales'!$D$22+R19*'Pesos finales'!$D$23+'Pesos finales'!$D$27</f>
        <v/>
      </c>
      <c r="V19" s="7">
        <f>EXP(S19)/(EXP(S19)+EXP(T19)+EXP(U19))</f>
        <v/>
      </c>
      <c r="W19" s="7">
        <f>EXP(T19)/(EXP(S19)+EXP(T19)+EXP(U19))</f>
        <v/>
      </c>
      <c r="X19" s="7">
        <f>EXP(U19)/(EXP(S19)+EXP(T19)+EXP(U19))</f>
        <v/>
      </c>
      <c r="Y19">
        <f>IF(AND(V19&gt;=W19,V19&gt;=X19),"Iris-setosa",IF(AND(W19&gt;=X19),"Iris-versicolor","Iris-virginica"))</f>
        <v/>
      </c>
      <c r="Z19" t="inlineStr">
        <is>
          <t>Iris-setosa</t>
        </is>
      </c>
      <c r="AA19">
        <f>IF(Y19=Z19,"Sí","No")</f>
        <v/>
      </c>
      <c r="AB19" s="7" t="n">
        <v>0.9977834596942463</v>
      </c>
      <c r="AC19" s="7" t="n">
        <v>0.00221645173848089</v>
      </c>
      <c r="AD19" s="7" t="n">
        <v>8.856727287888428e-08</v>
      </c>
      <c r="AE19" t="inlineStr">
        <is>
          <t>Iris-setosa</t>
        </is>
      </c>
      <c r="AF19" s="9">
        <f>MAX(ABS(V19-AB19),ABS(W19-AC19),ABS(X19-AD19))</f>
        <v/>
      </c>
      <c r="AG19">
        <f>IF(AND(Y19=AE19,AF19&lt;1E-9),"Sí","No")</f>
        <v/>
      </c>
    </row>
    <row r="20">
      <c r="A20" t="n">
        <v>14</v>
      </c>
      <c r="B20" t="inlineStr">
        <is>
          <t>entrenamiento</t>
        </is>
      </c>
      <c r="C20" t="n">
        <v>4.3</v>
      </c>
      <c r="D20" t="n">
        <v>3</v>
      </c>
      <c r="E20" t="n">
        <v>1.1</v>
      </c>
      <c r="F20" t="n">
        <v>0.1</v>
      </c>
      <c r="G20" s="7">
        <f>(C20-'Pesos finales'!$B$31)/'Pesos finales'!$B$32</f>
        <v/>
      </c>
      <c r="H20" s="7">
        <f>(D20-'Pesos finales'!$C$31)/'Pesos finales'!$C$32</f>
        <v/>
      </c>
      <c r="I20" s="7">
        <f>(E20-'Pesos finales'!$D$31)/'Pesos finales'!$D$32</f>
        <v/>
      </c>
      <c r="J20" s="7">
        <f>(F20-'Pesos finales'!$E$31)/'Pesos finales'!$E$32</f>
        <v/>
      </c>
      <c r="K20" s="7">
        <f>TANH(G20*'Pesos finales'!$B$5+H20*'Pesos finales'!$B$6+I20*'Pesos finales'!$B$7+J20*'Pesos finales'!$B$8+'Pesos finales'!$B$12)</f>
        <v/>
      </c>
      <c r="L20" s="7">
        <f>TANH(G20*'Pesos finales'!$C$5+H20*'Pesos finales'!$C$6+I20*'Pesos finales'!$C$7+J20*'Pesos finales'!$C$8+'Pesos finales'!$C$12)</f>
        <v/>
      </c>
      <c r="M20" s="7">
        <f>TANH(G20*'Pesos finales'!$D$5+H20*'Pesos finales'!$D$6+I20*'Pesos finales'!$D$7+J20*'Pesos finales'!$D$8+'Pesos finales'!$D$12)</f>
        <v/>
      </c>
      <c r="N20" s="7">
        <f>TANH(G20*'Pesos finales'!$E$5+H20*'Pesos finales'!$E$6+I20*'Pesos finales'!$E$7+J20*'Pesos finales'!$E$8+'Pesos finales'!$E$12)</f>
        <v/>
      </c>
      <c r="O20" s="7">
        <f>TANH(G20*'Pesos finales'!$F$5+H20*'Pesos finales'!$F$6+I20*'Pesos finales'!$F$7+J20*'Pesos finales'!$F$8+'Pesos finales'!$F$12)</f>
        <v/>
      </c>
      <c r="P20" s="7">
        <f>TANH(G20*'Pesos finales'!$G$5+H20*'Pesos finales'!$G$6+I20*'Pesos finales'!$G$7+J20*'Pesos finales'!$G$8+'Pesos finales'!$G$12)</f>
        <v/>
      </c>
      <c r="Q20" s="7">
        <f>TANH(G20*'Pesos finales'!$H$5+H20*'Pesos finales'!$H$6+I20*'Pesos finales'!$H$7+J20*'Pesos finales'!$H$8+'Pesos finales'!$H$12)</f>
        <v/>
      </c>
      <c r="R20" s="7">
        <f>TANH(G20*'Pesos finales'!$I$5+H20*'Pesos finales'!$I$6+I20*'Pesos finales'!$I$7+J20*'Pesos finales'!$I$8+'Pesos finales'!$I$12)</f>
        <v/>
      </c>
      <c r="S20" s="7">
        <f>K20*'Pesos finales'!$B$16+L20*'Pesos finales'!$B$17+M20*'Pesos finales'!$B$18+N20*'Pesos finales'!$B$19+O20*'Pesos finales'!$B$20+P20*'Pesos finales'!$B$21+Q20*'Pesos finales'!$B$22+R20*'Pesos finales'!$B$23+'Pesos finales'!$B$27</f>
        <v/>
      </c>
      <c r="T20" s="7">
        <f>K20*'Pesos finales'!$C$16+L20*'Pesos finales'!$C$17+M20*'Pesos finales'!$C$18+N20*'Pesos finales'!$C$19+O20*'Pesos finales'!$C$20+P20*'Pesos finales'!$C$21+Q20*'Pesos finales'!$C$22+R20*'Pesos finales'!$C$23+'Pesos finales'!$C$27</f>
        <v/>
      </c>
      <c r="U20" s="7">
        <f>K20*'Pesos finales'!$D$16+L20*'Pesos finales'!$D$17+M20*'Pesos finales'!$D$18+N20*'Pesos finales'!$D$19+O20*'Pesos finales'!$D$20+P20*'Pesos finales'!$D$21+Q20*'Pesos finales'!$D$22+R20*'Pesos finales'!$D$23+'Pesos finales'!$D$27</f>
        <v/>
      </c>
      <c r="V20" s="7">
        <f>EXP(S20)/(EXP(S20)+EXP(T20)+EXP(U20))</f>
        <v/>
      </c>
      <c r="W20" s="7">
        <f>EXP(T20)/(EXP(S20)+EXP(T20)+EXP(U20))</f>
        <v/>
      </c>
      <c r="X20" s="7">
        <f>EXP(U20)/(EXP(S20)+EXP(T20)+EXP(U20))</f>
        <v/>
      </c>
      <c r="Y20">
        <f>IF(AND(V20&gt;=W20,V20&gt;=X20),"Iris-setosa",IF(AND(W20&gt;=X20),"Iris-versicolor","Iris-virginica"))</f>
        <v/>
      </c>
      <c r="Z20" t="inlineStr">
        <is>
          <t>Iris-setosa</t>
        </is>
      </c>
      <c r="AA20">
        <f>IF(Y20=Z20,"Sí","No")</f>
        <v/>
      </c>
      <c r="AB20" s="7" t="n">
        <v>0.9981766911068076</v>
      </c>
      <c r="AC20" s="7" t="n">
        <v>0.00182323218610364</v>
      </c>
      <c r="AD20" s="7" t="n">
        <v>7.670708872980437e-08</v>
      </c>
      <c r="AE20" t="inlineStr">
        <is>
          <t>Iris-setosa</t>
        </is>
      </c>
      <c r="AF20" s="9">
        <f>MAX(ABS(V20-AB20),ABS(W20-AC20),ABS(X20-AD20))</f>
        <v/>
      </c>
      <c r="AG20">
        <f>IF(AND(Y20=AE20,AF20&lt;1E-9),"Sí","No")</f>
        <v/>
      </c>
    </row>
    <row r="21">
      <c r="A21" t="n">
        <v>15</v>
      </c>
      <c r="B21" t="inlineStr">
        <is>
          <t>entrenamiento</t>
        </is>
      </c>
      <c r="C21" t="n">
        <v>5.8</v>
      </c>
      <c r="D21" t="n">
        <v>4</v>
      </c>
      <c r="E21" t="n">
        <v>1.2</v>
      </c>
      <c r="F21" t="n">
        <v>0.2</v>
      </c>
      <c r="G21" s="7">
        <f>(C21-'Pesos finales'!$B$31)/'Pesos finales'!$B$32</f>
        <v/>
      </c>
      <c r="H21" s="7">
        <f>(D21-'Pesos finales'!$C$31)/'Pesos finales'!$C$32</f>
        <v/>
      </c>
      <c r="I21" s="7">
        <f>(E21-'Pesos finales'!$D$31)/'Pesos finales'!$D$32</f>
        <v/>
      </c>
      <c r="J21" s="7">
        <f>(F21-'Pesos finales'!$E$31)/'Pesos finales'!$E$32</f>
        <v/>
      </c>
      <c r="K21" s="7">
        <f>TANH(G21*'Pesos finales'!$B$5+H21*'Pesos finales'!$B$6+I21*'Pesos finales'!$B$7+J21*'Pesos finales'!$B$8+'Pesos finales'!$B$12)</f>
        <v/>
      </c>
      <c r="L21" s="7">
        <f>TANH(G21*'Pesos finales'!$C$5+H21*'Pesos finales'!$C$6+I21*'Pesos finales'!$C$7+J21*'Pesos finales'!$C$8+'Pesos finales'!$C$12)</f>
        <v/>
      </c>
      <c r="M21" s="7">
        <f>TANH(G21*'Pesos finales'!$D$5+H21*'Pesos finales'!$D$6+I21*'Pesos finales'!$D$7+J21*'Pesos finales'!$D$8+'Pesos finales'!$D$12)</f>
        <v/>
      </c>
      <c r="N21" s="7">
        <f>TANH(G21*'Pesos finales'!$E$5+H21*'Pesos finales'!$E$6+I21*'Pesos finales'!$E$7+J21*'Pesos finales'!$E$8+'Pesos finales'!$E$12)</f>
        <v/>
      </c>
      <c r="O21" s="7">
        <f>TANH(G21*'Pesos finales'!$F$5+H21*'Pesos finales'!$F$6+I21*'Pesos finales'!$F$7+J21*'Pesos finales'!$F$8+'Pesos finales'!$F$12)</f>
        <v/>
      </c>
      <c r="P21" s="7">
        <f>TANH(G21*'Pesos finales'!$G$5+H21*'Pesos finales'!$G$6+I21*'Pesos finales'!$G$7+J21*'Pesos finales'!$G$8+'Pesos finales'!$G$12)</f>
        <v/>
      </c>
      <c r="Q21" s="7">
        <f>TANH(G21*'Pesos finales'!$H$5+H21*'Pesos finales'!$H$6+I21*'Pesos finales'!$H$7+J21*'Pesos finales'!$H$8+'Pesos finales'!$H$12)</f>
        <v/>
      </c>
      <c r="R21" s="7">
        <f>TANH(G21*'Pesos finales'!$I$5+H21*'Pesos finales'!$I$6+I21*'Pesos finales'!$I$7+J21*'Pesos finales'!$I$8+'Pesos finales'!$I$12)</f>
        <v/>
      </c>
      <c r="S21" s="7">
        <f>K21*'Pesos finales'!$B$16+L21*'Pesos finales'!$B$17+M21*'Pesos finales'!$B$18+N21*'Pesos finales'!$B$19+O21*'Pesos finales'!$B$20+P21*'Pesos finales'!$B$21+Q21*'Pesos finales'!$B$22+R21*'Pesos finales'!$B$23+'Pesos finales'!$B$27</f>
        <v/>
      </c>
      <c r="T21" s="7">
        <f>K21*'Pesos finales'!$C$16+L21*'Pesos finales'!$C$17+M21*'Pesos finales'!$C$18+N21*'Pesos finales'!$C$19+O21*'Pesos finales'!$C$20+P21*'Pesos finales'!$C$21+Q21*'Pesos finales'!$C$22+R21*'Pesos finales'!$C$23+'Pesos finales'!$C$27</f>
        <v/>
      </c>
      <c r="U21" s="7">
        <f>K21*'Pesos finales'!$D$16+L21*'Pesos finales'!$D$17+M21*'Pesos finales'!$D$18+N21*'Pesos finales'!$D$19+O21*'Pesos finales'!$D$20+P21*'Pesos finales'!$D$21+Q21*'Pesos finales'!$D$22+R21*'Pesos finales'!$D$23+'Pesos finales'!$D$27</f>
        <v/>
      </c>
      <c r="V21" s="7">
        <f>EXP(S21)/(EXP(S21)+EXP(T21)+EXP(U21))</f>
        <v/>
      </c>
      <c r="W21" s="7">
        <f>EXP(T21)/(EXP(S21)+EXP(T21)+EXP(U21))</f>
        <v/>
      </c>
      <c r="X21" s="7">
        <f>EXP(U21)/(EXP(S21)+EXP(T21)+EXP(U21))</f>
        <v/>
      </c>
      <c r="Y21">
        <f>IF(AND(V21&gt;=W21,V21&gt;=X21),"Iris-setosa",IF(AND(W21&gt;=X21),"Iris-versicolor","Iris-virginica"))</f>
        <v/>
      </c>
      <c r="Z21" t="inlineStr">
        <is>
          <t>Iris-setosa</t>
        </is>
      </c>
      <c r="AA21">
        <f>IF(Y21=Z21,"Sí","No")</f>
        <v/>
      </c>
      <c r="AB21" s="7" t="n">
        <v>0.998385184427522</v>
      </c>
      <c r="AC21" s="7" t="n">
        <v>0.00161474969039951</v>
      </c>
      <c r="AD21" s="7" t="n">
        <v>6.588207836478697e-08</v>
      </c>
      <c r="AE21" t="inlineStr">
        <is>
          <t>Iris-setosa</t>
        </is>
      </c>
      <c r="AF21" s="9">
        <f>MAX(ABS(V21-AB21),ABS(W21-AC21),ABS(X21-AD21))</f>
        <v/>
      </c>
      <c r="AG21">
        <f>IF(AND(Y21=AE21,AF21&lt;1E-9),"Sí","No")</f>
        <v/>
      </c>
    </row>
    <row r="22">
      <c r="A22" t="n">
        <v>16</v>
      </c>
      <c r="B22" t="inlineStr">
        <is>
          <t>entrenamiento</t>
        </is>
      </c>
      <c r="C22" t="n">
        <v>5.7</v>
      </c>
      <c r="D22" t="n">
        <v>4.4</v>
      </c>
      <c r="E22" t="n">
        <v>1.5</v>
      </c>
      <c r="F22" t="n">
        <v>0.4</v>
      </c>
      <c r="G22" s="7">
        <f>(C22-'Pesos finales'!$B$31)/'Pesos finales'!$B$32</f>
        <v/>
      </c>
      <c r="H22" s="7">
        <f>(D22-'Pesos finales'!$C$31)/'Pesos finales'!$C$32</f>
        <v/>
      </c>
      <c r="I22" s="7">
        <f>(E22-'Pesos finales'!$D$31)/'Pesos finales'!$D$32</f>
        <v/>
      </c>
      <c r="J22" s="7">
        <f>(F22-'Pesos finales'!$E$31)/'Pesos finales'!$E$32</f>
        <v/>
      </c>
      <c r="K22" s="7">
        <f>TANH(G22*'Pesos finales'!$B$5+H22*'Pesos finales'!$B$6+I22*'Pesos finales'!$B$7+J22*'Pesos finales'!$B$8+'Pesos finales'!$B$12)</f>
        <v/>
      </c>
      <c r="L22" s="7">
        <f>TANH(G22*'Pesos finales'!$C$5+H22*'Pesos finales'!$C$6+I22*'Pesos finales'!$C$7+J22*'Pesos finales'!$C$8+'Pesos finales'!$C$12)</f>
        <v/>
      </c>
      <c r="M22" s="7">
        <f>TANH(G22*'Pesos finales'!$D$5+H22*'Pesos finales'!$D$6+I22*'Pesos finales'!$D$7+J22*'Pesos finales'!$D$8+'Pesos finales'!$D$12)</f>
        <v/>
      </c>
      <c r="N22" s="7">
        <f>TANH(G22*'Pesos finales'!$E$5+H22*'Pesos finales'!$E$6+I22*'Pesos finales'!$E$7+J22*'Pesos finales'!$E$8+'Pesos finales'!$E$12)</f>
        <v/>
      </c>
      <c r="O22" s="7">
        <f>TANH(G22*'Pesos finales'!$F$5+H22*'Pesos finales'!$F$6+I22*'Pesos finales'!$F$7+J22*'Pesos finales'!$F$8+'Pesos finales'!$F$12)</f>
        <v/>
      </c>
      <c r="P22" s="7">
        <f>TANH(G22*'Pesos finales'!$G$5+H22*'Pesos finales'!$G$6+I22*'Pesos finales'!$G$7+J22*'Pesos finales'!$G$8+'Pesos finales'!$G$12)</f>
        <v/>
      </c>
      <c r="Q22" s="7">
        <f>TANH(G22*'Pesos finales'!$H$5+H22*'Pesos finales'!$H$6+I22*'Pesos finales'!$H$7+J22*'Pesos finales'!$H$8+'Pesos finales'!$H$12)</f>
        <v/>
      </c>
      <c r="R22" s="7">
        <f>TANH(G22*'Pesos finales'!$I$5+H22*'Pesos finales'!$I$6+I22*'Pesos finales'!$I$7+J22*'Pesos finales'!$I$8+'Pesos finales'!$I$12)</f>
        <v/>
      </c>
      <c r="S22" s="7">
        <f>K22*'Pesos finales'!$B$16+L22*'Pesos finales'!$B$17+M22*'Pesos finales'!$B$18+N22*'Pesos finales'!$B$19+O22*'Pesos finales'!$B$20+P22*'Pesos finales'!$B$21+Q22*'Pesos finales'!$B$22+R22*'Pesos finales'!$B$23+'Pesos finales'!$B$27</f>
        <v/>
      </c>
      <c r="T22" s="7">
        <f>K22*'Pesos finales'!$C$16+L22*'Pesos finales'!$C$17+M22*'Pesos finales'!$C$18+N22*'Pesos finales'!$C$19+O22*'Pesos finales'!$C$20+P22*'Pesos finales'!$C$21+Q22*'Pesos finales'!$C$22+R22*'Pesos finales'!$C$23+'Pesos finales'!$C$27</f>
        <v/>
      </c>
      <c r="U22" s="7">
        <f>K22*'Pesos finales'!$D$16+L22*'Pesos finales'!$D$17+M22*'Pesos finales'!$D$18+N22*'Pesos finales'!$D$19+O22*'Pesos finales'!$D$20+P22*'Pesos finales'!$D$21+Q22*'Pesos finales'!$D$22+R22*'Pesos finales'!$D$23+'Pesos finales'!$D$27</f>
        <v/>
      </c>
      <c r="V22" s="7">
        <f>EXP(S22)/(EXP(S22)+EXP(T22)+EXP(U22))</f>
        <v/>
      </c>
      <c r="W22" s="7">
        <f>EXP(T22)/(EXP(S22)+EXP(T22)+EXP(U22))</f>
        <v/>
      </c>
      <c r="X22" s="7">
        <f>EXP(U22)/(EXP(S22)+EXP(T22)+EXP(U22))</f>
        <v/>
      </c>
      <c r="Y22">
        <f>IF(AND(V22&gt;=W22,V22&gt;=X22),"Iris-setosa",IF(AND(W22&gt;=X22),"Iris-versicolor","Iris-virginica"))</f>
        <v/>
      </c>
      <c r="Z22" t="inlineStr">
        <is>
          <t>Iris-setosa</t>
        </is>
      </c>
      <c r="AA22">
        <f>IF(Y22=Z22,"Sí","No")</f>
        <v/>
      </c>
      <c r="AB22" s="7" t="n">
        <v>0.9984460522768097</v>
      </c>
      <c r="AC22" s="7" t="n">
        <v>0.001553875759572971</v>
      </c>
      <c r="AD22" s="7" t="n">
        <v>7.196361734298582e-08</v>
      </c>
      <c r="AE22" t="inlineStr">
        <is>
          <t>Iris-setosa</t>
        </is>
      </c>
      <c r="AF22" s="9">
        <f>MAX(ABS(V22-AB22),ABS(W22-AC22),ABS(X22-AD22))</f>
        <v/>
      </c>
      <c r="AG22">
        <f>IF(AND(Y22=AE22,AF22&lt;1E-9),"Sí","No")</f>
        <v/>
      </c>
    </row>
    <row r="23">
      <c r="A23" t="n">
        <v>17</v>
      </c>
      <c r="B23" t="inlineStr">
        <is>
          <t>entrenamiento</t>
        </is>
      </c>
      <c r="C23" t="n">
        <v>5.4</v>
      </c>
      <c r="D23" t="n">
        <v>3.9</v>
      </c>
      <c r="E23" t="n">
        <v>1.3</v>
      </c>
      <c r="F23" t="n">
        <v>0.4</v>
      </c>
      <c r="G23" s="7">
        <f>(C23-'Pesos finales'!$B$31)/'Pesos finales'!$B$32</f>
        <v/>
      </c>
      <c r="H23" s="7">
        <f>(D23-'Pesos finales'!$C$31)/'Pesos finales'!$C$32</f>
        <v/>
      </c>
      <c r="I23" s="7">
        <f>(E23-'Pesos finales'!$D$31)/'Pesos finales'!$D$32</f>
        <v/>
      </c>
      <c r="J23" s="7">
        <f>(F23-'Pesos finales'!$E$31)/'Pesos finales'!$E$32</f>
        <v/>
      </c>
      <c r="K23" s="7">
        <f>TANH(G23*'Pesos finales'!$B$5+H23*'Pesos finales'!$B$6+I23*'Pesos finales'!$B$7+J23*'Pesos finales'!$B$8+'Pesos finales'!$B$12)</f>
        <v/>
      </c>
      <c r="L23" s="7">
        <f>TANH(G23*'Pesos finales'!$C$5+H23*'Pesos finales'!$C$6+I23*'Pesos finales'!$C$7+J23*'Pesos finales'!$C$8+'Pesos finales'!$C$12)</f>
        <v/>
      </c>
      <c r="M23" s="7">
        <f>TANH(G23*'Pesos finales'!$D$5+H23*'Pesos finales'!$D$6+I23*'Pesos finales'!$D$7+J23*'Pesos finales'!$D$8+'Pesos finales'!$D$12)</f>
        <v/>
      </c>
      <c r="N23" s="7">
        <f>TANH(G23*'Pesos finales'!$E$5+H23*'Pesos finales'!$E$6+I23*'Pesos finales'!$E$7+J23*'Pesos finales'!$E$8+'Pesos finales'!$E$12)</f>
        <v/>
      </c>
      <c r="O23" s="7">
        <f>TANH(G23*'Pesos finales'!$F$5+H23*'Pesos finales'!$F$6+I23*'Pesos finales'!$F$7+J23*'Pesos finales'!$F$8+'Pesos finales'!$F$12)</f>
        <v/>
      </c>
      <c r="P23" s="7">
        <f>TANH(G23*'Pesos finales'!$G$5+H23*'Pesos finales'!$G$6+I23*'Pesos finales'!$G$7+J23*'Pesos finales'!$G$8+'Pesos finales'!$G$12)</f>
        <v/>
      </c>
      <c r="Q23" s="7">
        <f>TANH(G23*'Pesos finales'!$H$5+H23*'Pesos finales'!$H$6+I23*'Pesos finales'!$H$7+J23*'Pesos finales'!$H$8+'Pesos finales'!$H$12)</f>
        <v/>
      </c>
      <c r="R23" s="7">
        <f>TANH(G23*'Pesos finales'!$I$5+H23*'Pesos finales'!$I$6+I23*'Pesos finales'!$I$7+J23*'Pesos finales'!$I$8+'Pesos finales'!$I$12)</f>
        <v/>
      </c>
      <c r="S23" s="7">
        <f>K23*'Pesos finales'!$B$16+L23*'Pesos finales'!$B$17+M23*'Pesos finales'!$B$18+N23*'Pesos finales'!$B$19+O23*'Pesos finales'!$B$20+P23*'Pesos finales'!$B$21+Q23*'Pesos finales'!$B$22+R23*'Pesos finales'!$B$23+'Pesos finales'!$B$27</f>
        <v/>
      </c>
      <c r="T23" s="7">
        <f>K23*'Pesos finales'!$C$16+L23*'Pesos finales'!$C$17+M23*'Pesos finales'!$C$18+N23*'Pesos finales'!$C$19+O23*'Pesos finales'!$C$20+P23*'Pesos finales'!$C$21+Q23*'Pesos finales'!$C$22+R23*'Pesos finales'!$C$23+'Pesos finales'!$C$27</f>
        <v/>
      </c>
      <c r="U23" s="7">
        <f>K23*'Pesos finales'!$D$16+L23*'Pesos finales'!$D$17+M23*'Pesos finales'!$D$18+N23*'Pesos finales'!$D$19+O23*'Pesos finales'!$D$20+P23*'Pesos finales'!$D$21+Q23*'Pesos finales'!$D$22+R23*'Pesos finales'!$D$23+'Pesos finales'!$D$27</f>
        <v/>
      </c>
      <c r="V23" s="7">
        <f>EXP(S23)/(EXP(S23)+EXP(T23)+EXP(U23))</f>
        <v/>
      </c>
      <c r="W23" s="7">
        <f>EXP(T23)/(EXP(S23)+EXP(T23)+EXP(U23))</f>
        <v/>
      </c>
      <c r="X23" s="7">
        <f>EXP(U23)/(EXP(S23)+EXP(T23)+EXP(U23))</f>
        <v/>
      </c>
      <c r="Y23">
        <f>IF(AND(V23&gt;=W23,V23&gt;=X23),"Iris-setosa",IF(AND(W23&gt;=X23),"Iris-versicolor","Iris-virginica"))</f>
        <v/>
      </c>
      <c r="Z23" t="inlineStr">
        <is>
          <t>Iris-setosa</t>
        </is>
      </c>
      <c r="AA23">
        <f>IF(Y23=Z23,"Sí","No")</f>
        <v/>
      </c>
      <c r="AB23" s="7" t="n">
        <v>0.998329175588674</v>
      </c>
      <c r="AC23" s="7" t="n">
        <v>0.00167075093861465</v>
      </c>
      <c r="AD23" s="7" t="n">
        <v>7.347271152801342e-08</v>
      </c>
      <c r="AE23" t="inlineStr">
        <is>
          <t>Iris-setosa</t>
        </is>
      </c>
      <c r="AF23" s="9">
        <f>MAX(ABS(V23-AB23),ABS(W23-AC23),ABS(X23-AD23))</f>
        <v/>
      </c>
      <c r="AG23">
        <f>IF(AND(Y23=AE23,AF23&lt;1E-9),"Sí","No")</f>
        <v/>
      </c>
    </row>
    <row r="24">
      <c r="A24" t="n">
        <v>18</v>
      </c>
      <c r="B24" t="inlineStr">
        <is>
          <t>prueba</t>
        </is>
      </c>
      <c r="C24" t="n">
        <v>5.1</v>
      </c>
      <c r="D24" t="n">
        <v>3.5</v>
      </c>
      <c r="E24" t="n">
        <v>1.4</v>
      </c>
      <c r="F24" t="n">
        <v>0.3</v>
      </c>
      <c r="G24" s="7">
        <f>(C24-'Pesos finales'!$B$31)/'Pesos finales'!$B$32</f>
        <v/>
      </c>
      <c r="H24" s="7">
        <f>(D24-'Pesos finales'!$C$31)/'Pesos finales'!$C$32</f>
        <v/>
      </c>
      <c r="I24" s="7">
        <f>(E24-'Pesos finales'!$D$31)/'Pesos finales'!$D$32</f>
        <v/>
      </c>
      <c r="J24" s="7">
        <f>(F24-'Pesos finales'!$E$31)/'Pesos finales'!$E$32</f>
        <v/>
      </c>
      <c r="K24" s="7">
        <f>TANH(G24*'Pesos finales'!$B$5+H24*'Pesos finales'!$B$6+I24*'Pesos finales'!$B$7+J24*'Pesos finales'!$B$8+'Pesos finales'!$B$12)</f>
        <v/>
      </c>
      <c r="L24" s="7">
        <f>TANH(G24*'Pesos finales'!$C$5+H24*'Pesos finales'!$C$6+I24*'Pesos finales'!$C$7+J24*'Pesos finales'!$C$8+'Pesos finales'!$C$12)</f>
        <v/>
      </c>
      <c r="M24" s="7">
        <f>TANH(G24*'Pesos finales'!$D$5+H24*'Pesos finales'!$D$6+I24*'Pesos finales'!$D$7+J24*'Pesos finales'!$D$8+'Pesos finales'!$D$12)</f>
        <v/>
      </c>
      <c r="N24" s="7">
        <f>TANH(G24*'Pesos finales'!$E$5+H24*'Pesos finales'!$E$6+I24*'Pesos finales'!$E$7+J24*'Pesos finales'!$E$8+'Pesos finales'!$E$12)</f>
        <v/>
      </c>
      <c r="O24" s="7">
        <f>TANH(G24*'Pesos finales'!$F$5+H24*'Pesos finales'!$F$6+I24*'Pesos finales'!$F$7+J24*'Pesos finales'!$F$8+'Pesos finales'!$F$12)</f>
        <v/>
      </c>
      <c r="P24" s="7">
        <f>TANH(G24*'Pesos finales'!$G$5+H24*'Pesos finales'!$G$6+I24*'Pesos finales'!$G$7+J24*'Pesos finales'!$G$8+'Pesos finales'!$G$12)</f>
        <v/>
      </c>
      <c r="Q24" s="7">
        <f>TANH(G24*'Pesos finales'!$H$5+H24*'Pesos finales'!$H$6+I24*'Pesos finales'!$H$7+J24*'Pesos finales'!$H$8+'Pesos finales'!$H$12)</f>
        <v/>
      </c>
      <c r="R24" s="7">
        <f>TANH(G24*'Pesos finales'!$I$5+H24*'Pesos finales'!$I$6+I24*'Pesos finales'!$I$7+J24*'Pesos finales'!$I$8+'Pesos finales'!$I$12)</f>
        <v/>
      </c>
      <c r="S24" s="7">
        <f>K24*'Pesos finales'!$B$16+L24*'Pesos finales'!$B$17+M24*'Pesos finales'!$B$18+N24*'Pesos finales'!$B$19+O24*'Pesos finales'!$B$20+P24*'Pesos finales'!$B$21+Q24*'Pesos finales'!$B$22+R24*'Pesos finales'!$B$23+'Pesos finales'!$B$27</f>
        <v/>
      </c>
      <c r="T24" s="7">
        <f>K24*'Pesos finales'!$C$16+L24*'Pesos finales'!$C$17+M24*'Pesos finales'!$C$18+N24*'Pesos finales'!$C$19+O24*'Pesos finales'!$C$20+P24*'Pesos finales'!$C$21+Q24*'Pesos finales'!$C$22+R24*'Pesos finales'!$C$23+'Pesos finales'!$C$27</f>
        <v/>
      </c>
      <c r="U24" s="7">
        <f>K24*'Pesos finales'!$D$16+L24*'Pesos finales'!$D$17+M24*'Pesos finales'!$D$18+N24*'Pesos finales'!$D$19+O24*'Pesos finales'!$D$20+P24*'Pesos finales'!$D$21+Q24*'Pesos finales'!$D$22+R24*'Pesos finales'!$D$23+'Pesos finales'!$D$27</f>
        <v/>
      </c>
      <c r="V24" s="7">
        <f>EXP(S24)/(EXP(S24)+EXP(T24)+EXP(U24))</f>
        <v/>
      </c>
      <c r="W24" s="7">
        <f>EXP(T24)/(EXP(S24)+EXP(T24)+EXP(U24))</f>
        <v/>
      </c>
      <c r="X24" s="7">
        <f>EXP(U24)/(EXP(S24)+EXP(T24)+EXP(U24))</f>
        <v/>
      </c>
      <c r="Y24">
        <f>IF(AND(V24&gt;=W24,V24&gt;=X24),"Iris-setosa",IF(AND(W24&gt;=X24),"Iris-versicolor","Iris-virginica"))</f>
        <v/>
      </c>
      <c r="Z24" t="inlineStr">
        <is>
          <t>Iris-setosa</t>
        </is>
      </c>
      <c r="AA24">
        <f>IF(Y24=Z24,"Sí","No")</f>
        <v/>
      </c>
      <c r="AB24" s="7" t="n">
        <v>0.9981465179932154</v>
      </c>
      <c r="AC24" s="7" t="n">
        <v>0.001853402876626614</v>
      </c>
      <c r="AD24" s="7" t="n">
        <v>7.913015792247197e-08</v>
      </c>
      <c r="AE24" t="inlineStr">
        <is>
          <t>Iris-setosa</t>
        </is>
      </c>
      <c r="AF24" s="9">
        <f>MAX(ABS(V24-AB24),ABS(W24-AC24),ABS(X24-AD24))</f>
        <v/>
      </c>
      <c r="AG24">
        <f>IF(AND(Y24=AE24,AF24&lt;1E-9),"Sí","No")</f>
        <v/>
      </c>
    </row>
    <row r="25">
      <c r="A25" t="n">
        <v>19</v>
      </c>
      <c r="B25" t="inlineStr">
        <is>
          <t>entrenamiento</t>
        </is>
      </c>
      <c r="C25" t="n">
        <v>5.7</v>
      </c>
      <c r="D25" t="n">
        <v>3.8</v>
      </c>
      <c r="E25" t="n">
        <v>1.7</v>
      </c>
      <c r="F25" t="n">
        <v>0.3</v>
      </c>
      <c r="G25" s="7">
        <f>(C25-'Pesos finales'!$B$31)/'Pesos finales'!$B$32</f>
        <v/>
      </c>
      <c r="H25" s="7">
        <f>(D25-'Pesos finales'!$C$31)/'Pesos finales'!$C$32</f>
        <v/>
      </c>
      <c r="I25" s="7">
        <f>(E25-'Pesos finales'!$D$31)/'Pesos finales'!$D$32</f>
        <v/>
      </c>
      <c r="J25" s="7">
        <f>(F25-'Pesos finales'!$E$31)/'Pesos finales'!$E$32</f>
        <v/>
      </c>
      <c r="K25" s="7">
        <f>TANH(G25*'Pesos finales'!$B$5+H25*'Pesos finales'!$B$6+I25*'Pesos finales'!$B$7+J25*'Pesos finales'!$B$8+'Pesos finales'!$B$12)</f>
        <v/>
      </c>
      <c r="L25" s="7">
        <f>TANH(G25*'Pesos finales'!$C$5+H25*'Pesos finales'!$C$6+I25*'Pesos finales'!$C$7+J25*'Pesos finales'!$C$8+'Pesos finales'!$C$12)</f>
        <v/>
      </c>
      <c r="M25" s="7">
        <f>TANH(G25*'Pesos finales'!$D$5+H25*'Pesos finales'!$D$6+I25*'Pesos finales'!$D$7+J25*'Pesos finales'!$D$8+'Pesos finales'!$D$12)</f>
        <v/>
      </c>
      <c r="N25" s="7">
        <f>TANH(G25*'Pesos finales'!$E$5+H25*'Pesos finales'!$E$6+I25*'Pesos finales'!$E$7+J25*'Pesos finales'!$E$8+'Pesos finales'!$E$12)</f>
        <v/>
      </c>
      <c r="O25" s="7">
        <f>TANH(G25*'Pesos finales'!$F$5+H25*'Pesos finales'!$F$6+I25*'Pesos finales'!$F$7+J25*'Pesos finales'!$F$8+'Pesos finales'!$F$12)</f>
        <v/>
      </c>
      <c r="P25" s="7">
        <f>TANH(G25*'Pesos finales'!$G$5+H25*'Pesos finales'!$G$6+I25*'Pesos finales'!$G$7+J25*'Pesos finales'!$G$8+'Pesos finales'!$G$12)</f>
        <v/>
      </c>
      <c r="Q25" s="7">
        <f>TANH(G25*'Pesos finales'!$H$5+H25*'Pesos finales'!$H$6+I25*'Pesos finales'!$H$7+J25*'Pesos finales'!$H$8+'Pesos finales'!$H$12)</f>
        <v/>
      </c>
      <c r="R25" s="7">
        <f>TANH(G25*'Pesos finales'!$I$5+H25*'Pesos finales'!$I$6+I25*'Pesos finales'!$I$7+J25*'Pesos finales'!$I$8+'Pesos finales'!$I$12)</f>
        <v/>
      </c>
      <c r="S25" s="7">
        <f>K25*'Pesos finales'!$B$16+L25*'Pesos finales'!$B$17+M25*'Pesos finales'!$B$18+N25*'Pesos finales'!$B$19+O25*'Pesos finales'!$B$20+P25*'Pesos finales'!$B$21+Q25*'Pesos finales'!$B$22+R25*'Pesos finales'!$B$23+'Pesos finales'!$B$27</f>
        <v/>
      </c>
      <c r="T25" s="7">
        <f>K25*'Pesos finales'!$C$16+L25*'Pesos finales'!$C$17+M25*'Pesos finales'!$C$18+N25*'Pesos finales'!$C$19+O25*'Pesos finales'!$C$20+P25*'Pesos finales'!$C$21+Q25*'Pesos finales'!$C$22+R25*'Pesos finales'!$C$23+'Pesos finales'!$C$27</f>
        <v/>
      </c>
      <c r="U25" s="7">
        <f>K25*'Pesos finales'!$D$16+L25*'Pesos finales'!$D$17+M25*'Pesos finales'!$D$18+N25*'Pesos finales'!$D$19+O25*'Pesos finales'!$D$20+P25*'Pesos finales'!$D$21+Q25*'Pesos finales'!$D$22+R25*'Pesos finales'!$D$23+'Pesos finales'!$D$27</f>
        <v/>
      </c>
      <c r="V25" s="7">
        <f>EXP(S25)/(EXP(S25)+EXP(T25)+EXP(U25))</f>
        <v/>
      </c>
      <c r="W25" s="7">
        <f>EXP(T25)/(EXP(S25)+EXP(T25)+EXP(U25))</f>
        <v/>
      </c>
      <c r="X25" s="7">
        <f>EXP(U25)/(EXP(S25)+EXP(T25)+EXP(U25))</f>
        <v/>
      </c>
      <c r="Y25">
        <f>IF(AND(V25&gt;=W25,V25&gt;=X25),"Iris-setosa",IF(AND(W25&gt;=X25),"Iris-versicolor","Iris-virginica"))</f>
        <v/>
      </c>
      <c r="Z25" t="inlineStr">
        <is>
          <t>Iris-setosa</t>
        </is>
      </c>
      <c r="AA25">
        <f>IF(Y25=Z25,"Sí","No")</f>
        <v/>
      </c>
      <c r="AB25" s="7" t="n">
        <v>0.9981151045895462</v>
      </c>
      <c r="AC25" s="7" t="n">
        <v>0.001884817118894332</v>
      </c>
      <c r="AD25" s="7" t="n">
        <v>7.829155944950888e-08</v>
      </c>
      <c r="AE25" t="inlineStr">
        <is>
          <t>Iris-setosa</t>
        </is>
      </c>
      <c r="AF25" s="9">
        <f>MAX(ABS(V25-AB25),ABS(W25-AC25),ABS(X25-AD25))</f>
        <v/>
      </c>
      <c r="AG25">
        <f>IF(AND(Y25=AE25,AF25&lt;1E-9),"Sí","No")</f>
        <v/>
      </c>
    </row>
    <row r="26">
      <c r="A26" t="n">
        <v>20</v>
      </c>
      <c r="B26" t="inlineStr">
        <is>
          <t>entrenamiento</t>
        </is>
      </c>
      <c r="C26" t="n">
        <v>5.1</v>
      </c>
      <c r="D26" t="n">
        <v>3.8</v>
      </c>
      <c r="E26" t="n">
        <v>1.5</v>
      </c>
      <c r="F26" t="n">
        <v>0.3</v>
      </c>
      <c r="G26" s="7">
        <f>(C26-'Pesos finales'!$B$31)/'Pesos finales'!$B$32</f>
        <v/>
      </c>
      <c r="H26" s="7">
        <f>(D26-'Pesos finales'!$C$31)/'Pesos finales'!$C$32</f>
        <v/>
      </c>
      <c r="I26" s="7">
        <f>(E26-'Pesos finales'!$D$31)/'Pesos finales'!$D$32</f>
        <v/>
      </c>
      <c r="J26" s="7">
        <f>(F26-'Pesos finales'!$E$31)/'Pesos finales'!$E$32</f>
        <v/>
      </c>
      <c r="K26" s="7">
        <f>TANH(G26*'Pesos finales'!$B$5+H26*'Pesos finales'!$B$6+I26*'Pesos finales'!$B$7+J26*'Pesos finales'!$B$8+'Pesos finales'!$B$12)</f>
        <v/>
      </c>
      <c r="L26" s="7">
        <f>TANH(G26*'Pesos finales'!$C$5+H26*'Pesos finales'!$C$6+I26*'Pesos finales'!$C$7+J26*'Pesos finales'!$C$8+'Pesos finales'!$C$12)</f>
        <v/>
      </c>
      <c r="M26" s="7">
        <f>TANH(G26*'Pesos finales'!$D$5+H26*'Pesos finales'!$D$6+I26*'Pesos finales'!$D$7+J26*'Pesos finales'!$D$8+'Pesos finales'!$D$12)</f>
        <v/>
      </c>
      <c r="N26" s="7">
        <f>TANH(G26*'Pesos finales'!$E$5+H26*'Pesos finales'!$E$6+I26*'Pesos finales'!$E$7+J26*'Pesos finales'!$E$8+'Pesos finales'!$E$12)</f>
        <v/>
      </c>
      <c r="O26" s="7">
        <f>TANH(G26*'Pesos finales'!$F$5+H26*'Pesos finales'!$F$6+I26*'Pesos finales'!$F$7+J26*'Pesos finales'!$F$8+'Pesos finales'!$F$12)</f>
        <v/>
      </c>
      <c r="P26" s="7">
        <f>TANH(G26*'Pesos finales'!$G$5+H26*'Pesos finales'!$G$6+I26*'Pesos finales'!$G$7+J26*'Pesos finales'!$G$8+'Pesos finales'!$G$12)</f>
        <v/>
      </c>
      <c r="Q26" s="7">
        <f>TANH(G26*'Pesos finales'!$H$5+H26*'Pesos finales'!$H$6+I26*'Pesos finales'!$H$7+J26*'Pesos finales'!$H$8+'Pesos finales'!$H$12)</f>
        <v/>
      </c>
      <c r="R26" s="7">
        <f>TANH(G26*'Pesos finales'!$I$5+H26*'Pesos finales'!$I$6+I26*'Pesos finales'!$I$7+J26*'Pesos finales'!$I$8+'Pesos finales'!$I$12)</f>
        <v/>
      </c>
      <c r="S26" s="7">
        <f>K26*'Pesos finales'!$B$16+L26*'Pesos finales'!$B$17+M26*'Pesos finales'!$B$18+N26*'Pesos finales'!$B$19+O26*'Pesos finales'!$B$20+P26*'Pesos finales'!$B$21+Q26*'Pesos finales'!$B$22+R26*'Pesos finales'!$B$23+'Pesos finales'!$B$27</f>
        <v/>
      </c>
      <c r="T26" s="7">
        <f>K26*'Pesos finales'!$C$16+L26*'Pesos finales'!$C$17+M26*'Pesos finales'!$C$18+N26*'Pesos finales'!$C$19+O26*'Pesos finales'!$C$20+P26*'Pesos finales'!$C$21+Q26*'Pesos finales'!$C$22+R26*'Pesos finales'!$C$23+'Pesos finales'!$C$27</f>
        <v/>
      </c>
      <c r="U26" s="7">
        <f>K26*'Pesos finales'!$D$16+L26*'Pesos finales'!$D$17+M26*'Pesos finales'!$D$18+N26*'Pesos finales'!$D$19+O26*'Pesos finales'!$D$20+P26*'Pesos finales'!$D$21+Q26*'Pesos finales'!$D$22+R26*'Pesos finales'!$D$23+'Pesos finales'!$D$27</f>
        <v/>
      </c>
      <c r="V26" s="7">
        <f>EXP(S26)/(EXP(S26)+EXP(T26)+EXP(U26))</f>
        <v/>
      </c>
      <c r="W26" s="7">
        <f>EXP(T26)/(EXP(S26)+EXP(T26)+EXP(U26))</f>
        <v/>
      </c>
      <c r="X26" s="7">
        <f>EXP(U26)/(EXP(S26)+EXP(T26)+EXP(U26))</f>
        <v/>
      </c>
      <c r="Y26">
        <f>IF(AND(V26&gt;=W26,V26&gt;=X26),"Iris-setosa",IF(AND(W26&gt;=X26),"Iris-versicolor","Iris-virginica"))</f>
        <v/>
      </c>
      <c r="Z26" t="inlineStr">
        <is>
          <t>Iris-setosa</t>
        </is>
      </c>
      <c r="AA26">
        <f>IF(Y26=Z26,"Sí","No")</f>
        <v/>
      </c>
      <c r="AB26" s="7" t="n">
        <v>0.9983218208769137</v>
      </c>
      <c r="AC26" s="7" t="n">
        <v>0.001678103160086942</v>
      </c>
      <c r="AD26" s="7" t="n">
        <v>7.596299916994316e-08</v>
      </c>
      <c r="AE26" t="inlineStr">
        <is>
          <t>Iris-setosa</t>
        </is>
      </c>
      <c r="AF26" s="9">
        <f>MAX(ABS(V26-AB26),ABS(W26-AC26),ABS(X26-AD26))</f>
        <v/>
      </c>
      <c r="AG26">
        <f>IF(AND(Y26=AE26,AF26&lt;1E-9),"Sí","No")</f>
        <v/>
      </c>
    </row>
    <row r="27">
      <c r="A27" t="n">
        <v>21</v>
      </c>
      <c r="B27" t="inlineStr">
        <is>
          <t>prueba</t>
        </is>
      </c>
      <c r="C27" t="n">
        <v>5.4</v>
      </c>
      <c r="D27" t="n">
        <v>3.4</v>
      </c>
      <c r="E27" t="n">
        <v>1.7</v>
      </c>
      <c r="F27" t="n">
        <v>0.2</v>
      </c>
      <c r="G27" s="7">
        <f>(C27-'Pesos finales'!$B$31)/'Pesos finales'!$B$32</f>
        <v/>
      </c>
      <c r="H27" s="7">
        <f>(D27-'Pesos finales'!$C$31)/'Pesos finales'!$C$32</f>
        <v/>
      </c>
      <c r="I27" s="7">
        <f>(E27-'Pesos finales'!$D$31)/'Pesos finales'!$D$32</f>
        <v/>
      </c>
      <c r="J27" s="7">
        <f>(F27-'Pesos finales'!$E$31)/'Pesos finales'!$E$32</f>
        <v/>
      </c>
      <c r="K27" s="7">
        <f>TANH(G27*'Pesos finales'!$B$5+H27*'Pesos finales'!$B$6+I27*'Pesos finales'!$B$7+J27*'Pesos finales'!$B$8+'Pesos finales'!$B$12)</f>
        <v/>
      </c>
      <c r="L27" s="7">
        <f>TANH(G27*'Pesos finales'!$C$5+H27*'Pesos finales'!$C$6+I27*'Pesos finales'!$C$7+J27*'Pesos finales'!$C$8+'Pesos finales'!$C$12)</f>
        <v/>
      </c>
      <c r="M27" s="7">
        <f>TANH(G27*'Pesos finales'!$D$5+H27*'Pesos finales'!$D$6+I27*'Pesos finales'!$D$7+J27*'Pesos finales'!$D$8+'Pesos finales'!$D$12)</f>
        <v/>
      </c>
      <c r="N27" s="7">
        <f>TANH(G27*'Pesos finales'!$E$5+H27*'Pesos finales'!$E$6+I27*'Pesos finales'!$E$7+J27*'Pesos finales'!$E$8+'Pesos finales'!$E$12)</f>
        <v/>
      </c>
      <c r="O27" s="7">
        <f>TANH(G27*'Pesos finales'!$F$5+H27*'Pesos finales'!$F$6+I27*'Pesos finales'!$F$7+J27*'Pesos finales'!$F$8+'Pesos finales'!$F$12)</f>
        <v/>
      </c>
      <c r="P27" s="7">
        <f>TANH(G27*'Pesos finales'!$G$5+H27*'Pesos finales'!$G$6+I27*'Pesos finales'!$G$7+J27*'Pesos finales'!$G$8+'Pesos finales'!$G$12)</f>
        <v/>
      </c>
      <c r="Q27" s="7">
        <f>TANH(G27*'Pesos finales'!$H$5+H27*'Pesos finales'!$H$6+I27*'Pesos finales'!$H$7+J27*'Pesos finales'!$H$8+'Pesos finales'!$H$12)</f>
        <v/>
      </c>
      <c r="R27" s="7">
        <f>TANH(G27*'Pesos finales'!$I$5+H27*'Pesos finales'!$I$6+I27*'Pesos finales'!$I$7+J27*'Pesos finales'!$I$8+'Pesos finales'!$I$12)</f>
        <v/>
      </c>
      <c r="S27" s="7">
        <f>K27*'Pesos finales'!$B$16+L27*'Pesos finales'!$B$17+M27*'Pesos finales'!$B$18+N27*'Pesos finales'!$B$19+O27*'Pesos finales'!$B$20+P27*'Pesos finales'!$B$21+Q27*'Pesos finales'!$B$22+R27*'Pesos finales'!$B$23+'Pesos finales'!$B$27</f>
        <v/>
      </c>
      <c r="T27" s="7">
        <f>K27*'Pesos finales'!$C$16+L27*'Pesos finales'!$C$17+M27*'Pesos finales'!$C$18+N27*'Pesos finales'!$C$19+O27*'Pesos finales'!$C$20+P27*'Pesos finales'!$C$21+Q27*'Pesos finales'!$C$22+R27*'Pesos finales'!$C$23+'Pesos finales'!$C$27</f>
        <v/>
      </c>
      <c r="U27" s="7">
        <f>K27*'Pesos finales'!$D$16+L27*'Pesos finales'!$D$17+M27*'Pesos finales'!$D$18+N27*'Pesos finales'!$D$19+O27*'Pesos finales'!$D$20+P27*'Pesos finales'!$D$21+Q27*'Pesos finales'!$D$22+R27*'Pesos finales'!$D$23+'Pesos finales'!$D$27</f>
        <v/>
      </c>
      <c r="V27" s="7">
        <f>EXP(S27)/(EXP(S27)+EXP(T27)+EXP(U27))</f>
        <v/>
      </c>
      <c r="W27" s="7">
        <f>EXP(T27)/(EXP(S27)+EXP(T27)+EXP(U27))</f>
        <v/>
      </c>
      <c r="X27" s="7">
        <f>EXP(U27)/(EXP(S27)+EXP(T27)+EXP(U27))</f>
        <v/>
      </c>
      <c r="Y27">
        <f>IF(AND(V27&gt;=W27,V27&gt;=X27),"Iris-setosa",IF(AND(W27&gt;=X27),"Iris-versicolor","Iris-virginica"))</f>
        <v/>
      </c>
      <c r="Z27" t="inlineStr">
        <is>
          <t>Iris-setosa</t>
        </is>
      </c>
      <c r="AA27">
        <f>IF(Y27=Z27,"Sí","No")</f>
        <v/>
      </c>
      <c r="AB27" s="7" t="n">
        <v>0.9977726837667792</v>
      </c>
      <c r="AC27" s="7" t="n">
        <v>0.002227227379698783</v>
      </c>
      <c r="AD27" s="7" t="n">
        <v>8.885352205013385e-08</v>
      </c>
      <c r="AE27" t="inlineStr">
        <is>
          <t>Iris-setosa</t>
        </is>
      </c>
      <c r="AF27" s="9">
        <f>MAX(ABS(V27-AB27),ABS(W27-AC27),ABS(X27-AD27))</f>
        <v/>
      </c>
      <c r="AG27">
        <f>IF(AND(Y27=AE27,AF27&lt;1E-9),"Sí","No")</f>
        <v/>
      </c>
    </row>
    <row r="28">
      <c r="A28" t="n">
        <v>22</v>
      </c>
      <c r="B28" t="inlineStr">
        <is>
          <t>entrenamiento</t>
        </is>
      </c>
      <c r="C28" t="n">
        <v>5.1</v>
      </c>
      <c r="D28" t="n">
        <v>3.7</v>
      </c>
      <c r="E28" t="n">
        <v>1.5</v>
      </c>
      <c r="F28" t="n">
        <v>0.4</v>
      </c>
      <c r="G28" s="7">
        <f>(C28-'Pesos finales'!$B$31)/'Pesos finales'!$B$32</f>
        <v/>
      </c>
      <c r="H28" s="7">
        <f>(D28-'Pesos finales'!$C$31)/'Pesos finales'!$C$32</f>
        <v/>
      </c>
      <c r="I28" s="7">
        <f>(E28-'Pesos finales'!$D$31)/'Pesos finales'!$D$32</f>
        <v/>
      </c>
      <c r="J28" s="7">
        <f>(F28-'Pesos finales'!$E$31)/'Pesos finales'!$E$32</f>
        <v/>
      </c>
      <c r="K28" s="7">
        <f>TANH(G28*'Pesos finales'!$B$5+H28*'Pesos finales'!$B$6+I28*'Pesos finales'!$B$7+J28*'Pesos finales'!$B$8+'Pesos finales'!$B$12)</f>
        <v/>
      </c>
      <c r="L28" s="7">
        <f>TANH(G28*'Pesos finales'!$C$5+H28*'Pesos finales'!$C$6+I28*'Pesos finales'!$C$7+J28*'Pesos finales'!$C$8+'Pesos finales'!$C$12)</f>
        <v/>
      </c>
      <c r="M28" s="7">
        <f>TANH(G28*'Pesos finales'!$D$5+H28*'Pesos finales'!$D$6+I28*'Pesos finales'!$D$7+J28*'Pesos finales'!$D$8+'Pesos finales'!$D$12)</f>
        <v/>
      </c>
      <c r="N28" s="7">
        <f>TANH(G28*'Pesos finales'!$E$5+H28*'Pesos finales'!$E$6+I28*'Pesos finales'!$E$7+J28*'Pesos finales'!$E$8+'Pesos finales'!$E$12)</f>
        <v/>
      </c>
      <c r="O28" s="7">
        <f>TANH(G28*'Pesos finales'!$F$5+H28*'Pesos finales'!$F$6+I28*'Pesos finales'!$F$7+J28*'Pesos finales'!$F$8+'Pesos finales'!$F$12)</f>
        <v/>
      </c>
      <c r="P28" s="7">
        <f>TANH(G28*'Pesos finales'!$G$5+H28*'Pesos finales'!$G$6+I28*'Pesos finales'!$G$7+J28*'Pesos finales'!$G$8+'Pesos finales'!$G$12)</f>
        <v/>
      </c>
      <c r="Q28" s="7">
        <f>TANH(G28*'Pesos finales'!$H$5+H28*'Pesos finales'!$H$6+I28*'Pesos finales'!$H$7+J28*'Pesos finales'!$H$8+'Pesos finales'!$H$12)</f>
        <v/>
      </c>
      <c r="R28" s="7">
        <f>TANH(G28*'Pesos finales'!$I$5+H28*'Pesos finales'!$I$6+I28*'Pesos finales'!$I$7+J28*'Pesos finales'!$I$8+'Pesos finales'!$I$12)</f>
        <v/>
      </c>
      <c r="S28" s="7">
        <f>K28*'Pesos finales'!$B$16+L28*'Pesos finales'!$B$17+M28*'Pesos finales'!$B$18+N28*'Pesos finales'!$B$19+O28*'Pesos finales'!$B$20+P28*'Pesos finales'!$B$21+Q28*'Pesos finales'!$B$22+R28*'Pesos finales'!$B$23+'Pesos finales'!$B$27</f>
        <v/>
      </c>
      <c r="T28" s="7">
        <f>K28*'Pesos finales'!$C$16+L28*'Pesos finales'!$C$17+M28*'Pesos finales'!$C$18+N28*'Pesos finales'!$C$19+O28*'Pesos finales'!$C$20+P28*'Pesos finales'!$C$21+Q28*'Pesos finales'!$C$22+R28*'Pesos finales'!$C$23+'Pesos finales'!$C$27</f>
        <v/>
      </c>
      <c r="U28" s="7">
        <f>K28*'Pesos finales'!$D$16+L28*'Pesos finales'!$D$17+M28*'Pesos finales'!$D$18+N28*'Pesos finales'!$D$19+O28*'Pesos finales'!$D$20+P28*'Pesos finales'!$D$21+Q28*'Pesos finales'!$D$22+R28*'Pesos finales'!$D$23+'Pesos finales'!$D$27</f>
        <v/>
      </c>
      <c r="V28" s="7">
        <f>EXP(S28)/(EXP(S28)+EXP(T28)+EXP(U28))</f>
        <v/>
      </c>
      <c r="W28" s="7">
        <f>EXP(T28)/(EXP(S28)+EXP(T28)+EXP(U28))</f>
        <v/>
      </c>
      <c r="X28" s="7">
        <f>EXP(U28)/(EXP(S28)+EXP(T28)+EXP(U28))</f>
        <v/>
      </c>
      <c r="Y28">
        <f>IF(AND(V28&gt;=W28,V28&gt;=X28),"Iris-setosa",IF(AND(W28&gt;=X28),"Iris-versicolor","Iris-virginica"))</f>
        <v/>
      </c>
      <c r="Z28" t="inlineStr">
        <is>
          <t>Iris-setosa</t>
        </is>
      </c>
      <c r="AA28">
        <f>IF(Y28=Z28,"Sí","No")</f>
        <v/>
      </c>
      <c r="AB28" s="7" t="n">
        <v>0.9982197679907423</v>
      </c>
      <c r="AC28" s="7" t="n">
        <v>0.001780150039120326</v>
      </c>
      <c r="AD28" s="7" t="n">
        <v>8.197013744402959e-08</v>
      </c>
      <c r="AE28" t="inlineStr">
        <is>
          <t>Iris-setosa</t>
        </is>
      </c>
      <c r="AF28" s="9">
        <f>MAX(ABS(V28-AB28),ABS(W28-AC28),ABS(X28-AD28))</f>
        <v/>
      </c>
      <c r="AG28">
        <f>IF(AND(Y28=AE28,AF28&lt;1E-9),"Sí","No")</f>
        <v/>
      </c>
    </row>
    <row r="29">
      <c r="A29" t="n">
        <v>23</v>
      </c>
      <c r="B29" t="inlineStr">
        <is>
          <t>entrenamiento</t>
        </is>
      </c>
      <c r="C29" t="n">
        <v>4.6</v>
      </c>
      <c r="D29" t="n">
        <v>3.6</v>
      </c>
      <c r="E29" t="n">
        <v>1</v>
      </c>
      <c r="F29" t="n">
        <v>0.2</v>
      </c>
      <c r="G29" s="7">
        <f>(C29-'Pesos finales'!$B$31)/'Pesos finales'!$B$32</f>
        <v/>
      </c>
      <c r="H29" s="7">
        <f>(D29-'Pesos finales'!$C$31)/'Pesos finales'!$C$32</f>
        <v/>
      </c>
      <c r="I29" s="7">
        <f>(E29-'Pesos finales'!$D$31)/'Pesos finales'!$D$32</f>
        <v/>
      </c>
      <c r="J29" s="7">
        <f>(F29-'Pesos finales'!$E$31)/'Pesos finales'!$E$32</f>
        <v/>
      </c>
      <c r="K29" s="7">
        <f>TANH(G29*'Pesos finales'!$B$5+H29*'Pesos finales'!$B$6+I29*'Pesos finales'!$B$7+J29*'Pesos finales'!$B$8+'Pesos finales'!$B$12)</f>
        <v/>
      </c>
      <c r="L29" s="7">
        <f>TANH(G29*'Pesos finales'!$C$5+H29*'Pesos finales'!$C$6+I29*'Pesos finales'!$C$7+J29*'Pesos finales'!$C$8+'Pesos finales'!$C$12)</f>
        <v/>
      </c>
      <c r="M29" s="7">
        <f>TANH(G29*'Pesos finales'!$D$5+H29*'Pesos finales'!$D$6+I29*'Pesos finales'!$D$7+J29*'Pesos finales'!$D$8+'Pesos finales'!$D$12)</f>
        <v/>
      </c>
      <c r="N29" s="7">
        <f>TANH(G29*'Pesos finales'!$E$5+H29*'Pesos finales'!$E$6+I29*'Pesos finales'!$E$7+J29*'Pesos finales'!$E$8+'Pesos finales'!$E$12)</f>
        <v/>
      </c>
      <c r="O29" s="7">
        <f>TANH(G29*'Pesos finales'!$F$5+H29*'Pesos finales'!$F$6+I29*'Pesos finales'!$F$7+J29*'Pesos finales'!$F$8+'Pesos finales'!$F$12)</f>
        <v/>
      </c>
      <c r="P29" s="7">
        <f>TANH(G29*'Pesos finales'!$G$5+H29*'Pesos finales'!$G$6+I29*'Pesos finales'!$G$7+J29*'Pesos finales'!$G$8+'Pesos finales'!$G$12)</f>
        <v/>
      </c>
      <c r="Q29" s="7">
        <f>TANH(G29*'Pesos finales'!$H$5+H29*'Pesos finales'!$H$6+I29*'Pesos finales'!$H$7+J29*'Pesos finales'!$H$8+'Pesos finales'!$H$12)</f>
        <v/>
      </c>
      <c r="R29" s="7">
        <f>TANH(G29*'Pesos finales'!$I$5+H29*'Pesos finales'!$I$6+I29*'Pesos finales'!$I$7+J29*'Pesos finales'!$I$8+'Pesos finales'!$I$12)</f>
        <v/>
      </c>
      <c r="S29" s="7">
        <f>K29*'Pesos finales'!$B$16+L29*'Pesos finales'!$B$17+M29*'Pesos finales'!$B$18+N29*'Pesos finales'!$B$19+O29*'Pesos finales'!$B$20+P29*'Pesos finales'!$B$21+Q29*'Pesos finales'!$B$22+R29*'Pesos finales'!$B$23+'Pesos finales'!$B$27</f>
        <v/>
      </c>
      <c r="T29" s="7">
        <f>K29*'Pesos finales'!$C$16+L29*'Pesos finales'!$C$17+M29*'Pesos finales'!$C$18+N29*'Pesos finales'!$C$19+O29*'Pesos finales'!$C$20+P29*'Pesos finales'!$C$21+Q29*'Pesos finales'!$C$22+R29*'Pesos finales'!$C$23+'Pesos finales'!$C$27</f>
        <v/>
      </c>
      <c r="U29" s="7">
        <f>K29*'Pesos finales'!$D$16+L29*'Pesos finales'!$D$17+M29*'Pesos finales'!$D$18+N29*'Pesos finales'!$D$19+O29*'Pesos finales'!$D$20+P29*'Pesos finales'!$D$21+Q29*'Pesos finales'!$D$22+R29*'Pesos finales'!$D$23+'Pesos finales'!$D$27</f>
        <v/>
      </c>
      <c r="V29" s="7">
        <f>EXP(S29)/(EXP(S29)+EXP(T29)+EXP(U29))</f>
        <v/>
      </c>
      <c r="W29" s="7">
        <f>EXP(T29)/(EXP(S29)+EXP(T29)+EXP(U29))</f>
        <v/>
      </c>
      <c r="X29" s="7">
        <f>EXP(U29)/(EXP(S29)+EXP(T29)+EXP(U29))</f>
        <v/>
      </c>
      <c r="Y29">
        <f>IF(AND(V29&gt;=W29,V29&gt;=X29),"Iris-setosa",IF(AND(W29&gt;=X29),"Iris-versicolor","Iris-virginica"))</f>
        <v/>
      </c>
      <c r="Z29" t="inlineStr">
        <is>
          <t>Iris-setosa</t>
        </is>
      </c>
      <c r="AA29">
        <f>IF(Y29=Z29,"Sí","No")</f>
        <v/>
      </c>
      <c r="AB29" s="7" t="n">
        <v>0.998409767317939</v>
      </c>
      <c r="AC29" s="7" t="n">
        <v>0.001590162416510527</v>
      </c>
      <c r="AD29" s="7" t="n">
        <v>7.02655504473477e-08</v>
      </c>
      <c r="AE29" t="inlineStr">
        <is>
          <t>Iris-setosa</t>
        </is>
      </c>
      <c r="AF29" s="9">
        <f>MAX(ABS(V29-AB29),ABS(W29-AC29),ABS(X29-AD29))</f>
        <v/>
      </c>
      <c r="AG29">
        <f>IF(AND(Y29=AE29,AF29&lt;1E-9),"Sí","No")</f>
        <v/>
      </c>
    </row>
    <row r="30">
      <c r="A30" t="n">
        <v>24</v>
      </c>
      <c r="B30" t="inlineStr">
        <is>
          <t>entrenamiento</t>
        </is>
      </c>
      <c r="C30" t="n">
        <v>5.1</v>
      </c>
      <c r="D30" t="n">
        <v>3.3</v>
      </c>
      <c r="E30" t="n">
        <v>1.7</v>
      </c>
      <c r="F30" t="n">
        <v>0.5</v>
      </c>
      <c r="G30" s="7">
        <f>(C30-'Pesos finales'!$B$31)/'Pesos finales'!$B$32</f>
        <v/>
      </c>
      <c r="H30" s="7">
        <f>(D30-'Pesos finales'!$C$31)/'Pesos finales'!$C$32</f>
        <v/>
      </c>
      <c r="I30" s="7">
        <f>(E30-'Pesos finales'!$D$31)/'Pesos finales'!$D$32</f>
        <v/>
      </c>
      <c r="J30" s="7">
        <f>(F30-'Pesos finales'!$E$31)/'Pesos finales'!$E$32</f>
        <v/>
      </c>
      <c r="K30" s="7">
        <f>TANH(G30*'Pesos finales'!$B$5+H30*'Pesos finales'!$B$6+I30*'Pesos finales'!$B$7+J30*'Pesos finales'!$B$8+'Pesos finales'!$B$12)</f>
        <v/>
      </c>
      <c r="L30" s="7">
        <f>TANH(G30*'Pesos finales'!$C$5+H30*'Pesos finales'!$C$6+I30*'Pesos finales'!$C$7+J30*'Pesos finales'!$C$8+'Pesos finales'!$C$12)</f>
        <v/>
      </c>
      <c r="M30" s="7">
        <f>TANH(G30*'Pesos finales'!$D$5+H30*'Pesos finales'!$D$6+I30*'Pesos finales'!$D$7+J30*'Pesos finales'!$D$8+'Pesos finales'!$D$12)</f>
        <v/>
      </c>
      <c r="N30" s="7">
        <f>TANH(G30*'Pesos finales'!$E$5+H30*'Pesos finales'!$E$6+I30*'Pesos finales'!$E$7+J30*'Pesos finales'!$E$8+'Pesos finales'!$E$12)</f>
        <v/>
      </c>
      <c r="O30" s="7">
        <f>TANH(G30*'Pesos finales'!$F$5+H30*'Pesos finales'!$F$6+I30*'Pesos finales'!$F$7+J30*'Pesos finales'!$F$8+'Pesos finales'!$F$12)</f>
        <v/>
      </c>
      <c r="P30" s="7">
        <f>TANH(G30*'Pesos finales'!$G$5+H30*'Pesos finales'!$G$6+I30*'Pesos finales'!$G$7+J30*'Pesos finales'!$G$8+'Pesos finales'!$G$12)</f>
        <v/>
      </c>
      <c r="Q30" s="7">
        <f>TANH(G30*'Pesos finales'!$H$5+H30*'Pesos finales'!$H$6+I30*'Pesos finales'!$H$7+J30*'Pesos finales'!$H$8+'Pesos finales'!$H$12)</f>
        <v/>
      </c>
      <c r="R30" s="7">
        <f>TANH(G30*'Pesos finales'!$I$5+H30*'Pesos finales'!$I$6+I30*'Pesos finales'!$I$7+J30*'Pesos finales'!$I$8+'Pesos finales'!$I$12)</f>
        <v/>
      </c>
      <c r="S30" s="7">
        <f>K30*'Pesos finales'!$B$16+L30*'Pesos finales'!$B$17+M30*'Pesos finales'!$B$18+N30*'Pesos finales'!$B$19+O30*'Pesos finales'!$B$20+P30*'Pesos finales'!$B$21+Q30*'Pesos finales'!$B$22+R30*'Pesos finales'!$B$23+'Pesos finales'!$B$27</f>
        <v/>
      </c>
      <c r="T30" s="7">
        <f>K30*'Pesos finales'!$C$16+L30*'Pesos finales'!$C$17+M30*'Pesos finales'!$C$18+N30*'Pesos finales'!$C$19+O30*'Pesos finales'!$C$20+P30*'Pesos finales'!$C$21+Q30*'Pesos finales'!$C$22+R30*'Pesos finales'!$C$23+'Pesos finales'!$C$27</f>
        <v/>
      </c>
      <c r="U30" s="7">
        <f>K30*'Pesos finales'!$D$16+L30*'Pesos finales'!$D$17+M30*'Pesos finales'!$D$18+N30*'Pesos finales'!$D$19+O30*'Pesos finales'!$D$20+P30*'Pesos finales'!$D$21+Q30*'Pesos finales'!$D$22+R30*'Pesos finales'!$D$23+'Pesos finales'!$D$27</f>
        <v/>
      </c>
      <c r="V30" s="7">
        <f>EXP(S30)/(EXP(S30)+EXP(T30)+EXP(U30))</f>
        <v/>
      </c>
      <c r="W30" s="7">
        <f>EXP(T30)/(EXP(S30)+EXP(T30)+EXP(U30))</f>
        <v/>
      </c>
      <c r="X30" s="7">
        <f>EXP(U30)/(EXP(S30)+EXP(T30)+EXP(U30))</f>
        <v/>
      </c>
      <c r="Y30">
        <f>IF(AND(V30&gt;=W30,V30&gt;=X30),"Iris-setosa",IF(AND(W30&gt;=X30),"Iris-versicolor","Iris-virginica"))</f>
        <v/>
      </c>
      <c r="Z30" t="inlineStr">
        <is>
          <t>Iris-setosa</t>
        </is>
      </c>
      <c r="AA30">
        <f>IF(Y30=Z30,"Sí","No")</f>
        <v/>
      </c>
      <c r="AB30" s="7" t="n">
        <v>0.997236126169621</v>
      </c>
      <c r="AC30" s="7" t="n">
        <v>0.002763752668862007</v>
      </c>
      <c r="AD30" s="7" t="n">
        <v>1.21161517057115e-07</v>
      </c>
      <c r="AE30" t="inlineStr">
        <is>
          <t>Iris-setosa</t>
        </is>
      </c>
      <c r="AF30" s="9">
        <f>MAX(ABS(V30-AB30),ABS(W30-AC30),ABS(X30-AD30))</f>
        <v/>
      </c>
      <c r="AG30">
        <f>IF(AND(Y30=AE30,AF30&lt;1E-9),"Sí","No")</f>
        <v/>
      </c>
    </row>
    <row r="31">
      <c r="A31" t="n">
        <v>25</v>
      </c>
      <c r="B31" t="inlineStr">
        <is>
          <t>entrenamiento</t>
        </is>
      </c>
      <c r="C31" t="n">
        <v>4.8</v>
      </c>
      <c r="D31" t="n">
        <v>3.4</v>
      </c>
      <c r="E31" t="n">
        <v>1.9</v>
      </c>
      <c r="F31" t="n">
        <v>0.2</v>
      </c>
      <c r="G31" s="7">
        <f>(C31-'Pesos finales'!$B$31)/'Pesos finales'!$B$32</f>
        <v/>
      </c>
      <c r="H31" s="7">
        <f>(D31-'Pesos finales'!$C$31)/'Pesos finales'!$C$32</f>
        <v/>
      </c>
      <c r="I31" s="7">
        <f>(E31-'Pesos finales'!$D$31)/'Pesos finales'!$D$32</f>
        <v/>
      </c>
      <c r="J31" s="7">
        <f>(F31-'Pesos finales'!$E$31)/'Pesos finales'!$E$32</f>
        <v/>
      </c>
      <c r="K31" s="7">
        <f>TANH(G31*'Pesos finales'!$B$5+H31*'Pesos finales'!$B$6+I31*'Pesos finales'!$B$7+J31*'Pesos finales'!$B$8+'Pesos finales'!$B$12)</f>
        <v/>
      </c>
      <c r="L31" s="7">
        <f>TANH(G31*'Pesos finales'!$C$5+H31*'Pesos finales'!$C$6+I31*'Pesos finales'!$C$7+J31*'Pesos finales'!$C$8+'Pesos finales'!$C$12)</f>
        <v/>
      </c>
      <c r="M31" s="7">
        <f>TANH(G31*'Pesos finales'!$D$5+H31*'Pesos finales'!$D$6+I31*'Pesos finales'!$D$7+J31*'Pesos finales'!$D$8+'Pesos finales'!$D$12)</f>
        <v/>
      </c>
      <c r="N31" s="7">
        <f>TANH(G31*'Pesos finales'!$E$5+H31*'Pesos finales'!$E$6+I31*'Pesos finales'!$E$7+J31*'Pesos finales'!$E$8+'Pesos finales'!$E$12)</f>
        <v/>
      </c>
      <c r="O31" s="7">
        <f>TANH(G31*'Pesos finales'!$F$5+H31*'Pesos finales'!$F$6+I31*'Pesos finales'!$F$7+J31*'Pesos finales'!$F$8+'Pesos finales'!$F$12)</f>
        <v/>
      </c>
      <c r="P31" s="7">
        <f>TANH(G31*'Pesos finales'!$G$5+H31*'Pesos finales'!$G$6+I31*'Pesos finales'!$G$7+J31*'Pesos finales'!$G$8+'Pesos finales'!$G$12)</f>
        <v/>
      </c>
      <c r="Q31" s="7">
        <f>TANH(G31*'Pesos finales'!$H$5+H31*'Pesos finales'!$H$6+I31*'Pesos finales'!$H$7+J31*'Pesos finales'!$H$8+'Pesos finales'!$H$12)</f>
        <v/>
      </c>
      <c r="R31" s="7">
        <f>TANH(G31*'Pesos finales'!$I$5+H31*'Pesos finales'!$I$6+I31*'Pesos finales'!$I$7+J31*'Pesos finales'!$I$8+'Pesos finales'!$I$12)</f>
        <v/>
      </c>
      <c r="S31" s="7">
        <f>K31*'Pesos finales'!$B$16+L31*'Pesos finales'!$B$17+M31*'Pesos finales'!$B$18+N31*'Pesos finales'!$B$19+O31*'Pesos finales'!$B$20+P31*'Pesos finales'!$B$21+Q31*'Pesos finales'!$B$22+R31*'Pesos finales'!$B$23+'Pesos finales'!$B$27</f>
        <v/>
      </c>
      <c r="T31" s="7">
        <f>K31*'Pesos finales'!$C$16+L31*'Pesos finales'!$C$17+M31*'Pesos finales'!$C$18+N31*'Pesos finales'!$C$19+O31*'Pesos finales'!$C$20+P31*'Pesos finales'!$C$21+Q31*'Pesos finales'!$C$22+R31*'Pesos finales'!$C$23+'Pesos finales'!$C$27</f>
        <v/>
      </c>
      <c r="U31" s="7">
        <f>K31*'Pesos finales'!$D$16+L31*'Pesos finales'!$D$17+M31*'Pesos finales'!$D$18+N31*'Pesos finales'!$D$19+O31*'Pesos finales'!$D$20+P31*'Pesos finales'!$D$21+Q31*'Pesos finales'!$D$22+R31*'Pesos finales'!$D$23+'Pesos finales'!$D$27</f>
        <v/>
      </c>
      <c r="V31" s="7">
        <f>EXP(S31)/(EXP(S31)+EXP(T31)+EXP(U31))</f>
        <v/>
      </c>
      <c r="W31" s="7">
        <f>EXP(T31)/(EXP(S31)+EXP(T31)+EXP(U31))</f>
        <v/>
      </c>
      <c r="X31" s="7">
        <f>EXP(U31)/(EXP(S31)+EXP(T31)+EXP(U31))</f>
        <v/>
      </c>
      <c r="Y31">
        <f>IF(AND(V31&gt;=W31,V31&gt;=X31),"Iris-setosa",IF(AND(W31&gt;=X31),"Iris-versicolor","Iris-virginica"))</f>
        <v/>
      </c>
      <c r="Z31" t="inlineStr">
        <is>
          <t>Iris-setosa</t>
        </is>
      </c>
      <c r="AA31">
        <f>IF(Y31=Z31,"Sí","No")</f>
        <v/>
      </c>
      <c r="AB31" s="7" t="n">
        <v>0.9979955851203058</v>
      </c>
      <c r="AC31" s="7" t="n">
        <v>0.002004325153747849</v>
      </c>
      <c r="AD31" s="7" t="n">
        <v>8.972594632770817e-08</v>
      </c>
      <c r="AE31" t="inlineStr">
        <is>
          <t>Iris-setosa</t>
        </is>
      </c>
      <c r="AF31" s="9">
        <f>MAX(ABS(V31-AB31),ABS(W31-AC31),ABS(X31-AD31))</f>
        <v/>
      </c>
      <c r="AG31">
        <f>IF(AND(Y31=AE31,AF31&lt;1E-9),"Sí","No")</f>
        <v/>
      </c>
    </row>
    <row r="32">
      <c r="A32" t="n">
        <v>26</v>
      </c>
      <c r="B32" t="inlineStr">
        <is>
          <t>prueba</t>
        </is>
      </c>
      <c r="C32" t="n">
        <v>5</v>
      </c>
      <c r="D32" t="n">
        <v>3</v>
      </c>
      <c r="E32" t="n">
        <v>1.6</v>
      </c>
      <c r="F32" t="n">
        <v>0.2</v>
      </c>
      <c r="G32" s="7">
        <f>(C32-'Pesos finales'!$B$31)/'Pesos finales'!$B$32</f>
        <v/>
      </c>
      <c r="H32" s="7">
        <f>(D32-'Pesos finales'!$C$31)/'Pesos finales'!$C$32</f>
        <v/>
      </c>
      <c r="I32" s="7">
        <f>(E32-'Pesos finales'!$D$31)/'Pesos finales'!$D$32</f>
        <v/>
      </c>
      <c r="J32" s="7">
        <f>(F32-'Pesos finales'!$E$31)/'Pesos finales'!$E$32</f>
        <v/>
      </c>
      <c r="K32" s="7">
        <f>TANH(G32*'Pesos finales'!$B$5+H32*'Pesos finales'!$B$6+I32*'Pesos finales'!$B$7+J32*'Pesos finales'!$B$8+'Pesos finales'!$B$12)</f>
        <v/>
      </c>
      <c r="L32" s="7">
        <f>TANH(G32*'Pesos finales'!$C$5+H32*'Pesos finales'!$C$6+I32*'Pesos finales'!$C$7+J32*'Pesos finales'!$C$8+'Pesos finales'!$C$12)</f>
        <v/>
      </c>
      <c r="M32" s="7">
        <f>TANH(G32*'Pesos finales'!$D$5+H32*'Pesos finales'!$D$6+I32*'Pesos finales'!$D$7+J32*'Pesos finales'!$D$8+'Pesos finales'!$D$12)</f>
        <v/>
      </c>
      <c r="N32" s="7">
        <f>TANH(G32*'Pesos finales'!$E$5+H32*'Pesos finales'!$E$6+I32*'Pesos finales'!$E$7+J32*'Pesos finales'!$E$8+'Pesos finales'!$E$12)</f>
        <v/>
      </c>
      <c r="O32" s="7">
        <f>TANH(G32*'Pesos finales'!$F$5+H32*'Pesos finales'!$F$6+I32*'Pesos finales'!$F$7+J32*'Pesos finales'!$F$8+'Pesos finales'!$F$12)</f>
        <v/>
      </c>
      <c r="P32" s="7">
        <f>TANH(G32*'Pesos finales'!$G$5+H32*'Pesos finales'!$G$6+I32*'Pesos finales'!$G$7+J32*'Pesos finales'!$G$8+'Pesos finales'!$G$12)</f>
        <v/>
      </c>
      <c r="Q32" s="7">
        <f>TANH(G32*'Pesos finales'!$H$5+H32*'Pesos finales'!$H$6+I32*'Pesos finales'!$H$7+J32*'Pesos finales'!$H$8+'Pesos finales'!$H$12)</f>
        <v/>
      </c>
      <c r="R32" s="7">
        <f>TANH(G32*'Pesos finales'!$I$5+H32*'Pesos finales'!$I$6+I32*'Pesos finales'!$I$7+J32*'Pesos finales'!$I$8+'Pesos finales'!$I$12)</f>
        <v/>
      </c>
      <c r="S32" s="7">
        <f>K32*'Pesos finales'!$B$16+L32*'Pesos finales'!$B$17+M32*'Pesos finales'!$B$18+N32*'Pesos finales'!$B$19+O32*'Pesos finales'!$B$20+P32*'Pesos finales'!$B$21+Q32*'Pesos finales'!$B$22+R32*'Pesos finales'!$B$23+'Pesos finales'!$B$27</f>
        <v/>
      </c>
      <c r="T32" s="7">
        <f>K32*'Pesos finales'!$C$16+L32*'Pesos finales'!$C$17+M32*'Pesos finales'!$C$18+N32*'Pesos finales'!$C$19+O32*'Pesos finales'!$C$20+P32*'Pesos finales'!$C$21+Q32*'Pesos finales'!$C$22+R32*'Pesos finales'!$C$23+'Pesos finales'!$C$27</f>
        <v/>
      </c>
      <c r="U32" s="7">
        <f>K32*'Pesos finales'!$D$16+L32*'Pesos finales'!$D$17+M32*'Pesos finales'!$D$18+N32*'Pesos finales'!$D$19+O32*'Pesos finales'!$D$20+P32*'Pesos finales'!$D$21+Q32*'Pesos finales'!$D$22+R32*'Pesos finales'!$D$23+'Pesos finales'!$D$27</f>
        <v/>
      </c>
      <c r="V32" s="7">
        <f>EXP(S32)/(EXP(S32)+EXP(T32)+EXP(U32))</f>
        <v/>
      </c>
      <c r="W32" s="7">
        <f>EXP(T32)/(EXP(S32)+EXP(T32)+EXP(U32))</f>
        <v/>
      </c>
      <c r="X32" s="7">
        <f>EXP(U32)/(EXP(S32)+EXP(T32)+EXP(U32))</f>
        <v/>
      </c>
      <c r="Y32">
        <f>IF(AND(V32&gt;=W32,V32&gt;=X32),"Iris-setosa",IF(AND(W32&gt;=X32),"Iris-versicolor","Iris-virginica"))</f>
        <v/>
      </c>
      <c r="Z32" t="inlineStr">
        <is>
          <t>Iris-setosa</t>
        </is>
      </c>
      <c r="AA32">
        <f>IF(Y32=Z32,"Sí","No")</f>
        <v/>
      </c>
      <c r="AB32" s="7" t="n">
        <v>0.9970840566615845</v>
      </c>
      <c r="AC32" s="7" t="n">
        <v>0.002915830418959303</v>
      </c>
      <c r="AD32" s="7" t="n">
        <v>1.129194561796545e-07</v>
      </c>
      <c r="AE32" t="inlineStr">
        <is>
          <t>Iris-setosa</t>
        </is>
      </c>
      <c r="AF32" s="9">
        <f>MAX(ABS(V32-AB32),ABS(W32-AC32),ABS(X32-AD32))</f>
        <v/>
      </c>
      <c r="AG32">
        <f>IF(AND(Y32=AE32,AF32&lt;1E-9),"Sí","No")</f>
        <v/>
      </c>
    </row>
    <row r="33">
      <c r="A33" t="n">
        <v>27</v>
      </c>
      <c r="B33" t="inlineStr">
        <is>
          <t>entrenamiento</t>
        </is>
      </c>
      <c r="C33" t="n">
        <v>5</v>
      </c>
      <c r="D33" t="n">
        <v>3.4</v>
      </c>
      <c r="E33" t="n">
        <v>1.6</v>
      </c>
      <c r="F33" t="n">
        <v>0.4</v>
      </c>
      <c r="G33" s="7">
        <f>(C33-'Pesos finales'!$B$31)/'Pesos finales'!$B$32</f>
        <v/>
      </c>
      <c r="H33" s="7">
        <f>(D33-'Pesos finales'!$C$31)/'Pesos finales'!$C$32</f>
        <v/>
      </c>
      <c r="I33" s="7">
        <f>(E33-'Pesos finales'!$D$31)/'Pesos finales'!$D$32</f>
        <v/>
      </c>
      <c r="J33" s="7">
        <f>(F33-'Pesos finales'!$E$31)/'Pesos finales'!$E$32</f>
        <v/>
      </c>
      <c r="K33" s="7">
        <f>TANH(G33*'Pesos finales'!$B$5+H33*'Pesos finales'!$B$6+I33*'Pesos finales'!$B$7+J33*'Pesos finales'!$B$8+'Pesos finales'!$B$12)</f>
        <v/>
      </c>
      <c r="L33" s="7">
        <f>TANH(G33*'Pesos finales'!$C$5+H33*'Pesos finales'!$C$6+I33*'Pesos finales'!$C$7+J33*'Pesos finales'!$C$8+'Pesos finales'!$C$12)</f>
        <v/>
      </c>
      <c r="M33" s="7">
        <f>TANH(G33*'Pesos finales'!$D$5+H33*'Pesos finales'!$D$6+I33*'Pesos finales'!$D$7+J33*'Pesos finales'!$D$8+'Pesos finales'!$D$12)</f>
        <v/>
      </c>
      <c r="N33" s="7">
        <f>TANH(G33*'Pesos finales'!$E$5+H33*'Pesos finales'!$E$6+I33*'Pesos finales'!$E$7+J33*'Pesos finales'!$E$8+'Pesos finales'!$E$12)</f>
        <v/>
      </c>
      <c r="O33" s="7">
        <f>TANH(G33*'Pesos finales'!$F$5+H33*'Pesos finales'!$F$6+I33*'Pesos finales'!$F$7+J33*'Pesos finales'!$F$8+'Pesos finales'!$F$12)</f>
        <v/>
      </c>
      <c r="P33" s="7">
        <f>TANH(G33*'Pesos finales'!$G$5+H33*'Pesos finales'!$G$6+I33*'Pesos finales'!$G$7+J33*'Pesos finales'!$G$8+'Pesos finales'!$G$12)</f>
        <v/>
      </c>
      <c r="Q33" s="7">
        <f>TANH(G33*'Pesos finales'!$H$5+H33*'Pesos finales'!$H$6+I33*'Pesos finales'!$H$7+J33*'Pesos finales'!$H$8+'Pesos finales'!$H$12)</f>
        <v/>
      </c>
      <c r="R33" s="7">
        <f>TANH(G33*'Pesos finales'!$I$5+H33*'Pesos finales'!$I$6+I33*'Pesos finales'!$I$7+J33*'Pesos finales'!$I$8+'Pesos finales'!$I$12)</f>
        <v/>
      </c>
      <c r="S33" s="7">
        <f>K33*'Pesos finales'!$B$16+L33*'Pesos finales'!$B$17+M33*'Pesos finales'!$B$18+N33*'Pesos finales'!$B$19+O33*'Pesos finales'!$B$20+P33*'Pesos finales'!$B$21+Q33*'Pesos finales'!$B$22+R33*'Pesos finales'!$B$23+'Pesos finales'!$B$27</f>
        <v/>
      </c>
      <c r="T33" s="7">
        <f>K33*'Pesos finales'!$C$16+L33*'Pesos finales'!$C$17+M33*'Pesos finales'!$C$18+N33*'Pesos finales'!$C$19+O33*'Pesos finales'!$C$20+P33*'Pesos finales'!$C$21+Q33*'Pesos finales'!$C$22+R33*'Pesos finales'!$C$23+'Pesos finales'!$C$27</f>
        <v/>
      </c>
      <c r="U33" s="7">
        <f>K33*'Pesos finales'!$D$16+L33*'Pesos finales'!$D$17+M33*'Pesos finales'!$D$18+N33*'Pesos finales'!$D$19+O33*'Pesos finales'!$D$20+P33*'Pesos finales'!$D$21+Q33*'Pesos finales'!$D$22+R33*'Pesos finales'!$D$23+'Pesos finales'!$D$27</f>
        <v/>
      </c>
      <c r="V33" s="7">
        <f>EXP(S33)/(EXP(S33)+EXP(T33)+EXP(U33))</f>
        <v/>
      </c>
      <c r="W33" s="7">
        <f>EXP(T33)/(EXP(S33)+EXP(T33)+EXP(U33))</f>
        <v/>
      </c>
      <c r="X33" s="7">
        <f>EXP(U33)/(EXP(S33)+EXP(T33)+EXP(U33))</f>
        <v/>
      </c>
      <c r="Y33">
        <f>IF(AND(V33&gt;=W33,V33&gt;=X33),"Iris-setosa",IF(AND(W33&gt;=X33),"Iris-versicolor","Iris-virginica"))</f>
        <v/>
      </c>
      <c r="Z33" t="inlineStr">
        <is>
          <t>Iris-setosa</t>
        </is>
      </c>
      <c r="AA33">
        <f>IF(Y33=Z33,"Sí","No")</f>
        <v/>
      </c>
      <c r="AB33" s="7" t="n">
        <v>0.9978717255083379</v>
      </c>
      <c r="AC33" s="7" t="n">
        <v>0.002128179809674123</v>
      </c>
      <c r="AD33" s="7" t="n">
        <v>9.468198799744852e-08</v>
      </c>
      <c r="AE33" t="inlineStr">
        <is>
          <t>Iris-setosa</t>
        </is>
      </c>
      <c r="AF33" s="9">
        <f>MAX(ABS(V33-AB33),ABS(W33-AC33),ABS(X33-AD33))</f>
        <v/>
      </c>
      <c r="AG33">
        <f>IF(AND(Y33=AE33,AF33&lt;1E-9),"Sí","No")</f>
        <v/>
      </c>
    </row>
    <row r="34">
      <c r="A34" t="n">
        <v>28</v>
      </c>
      <c r="B34" t="inlineStr">
        <is>
          <t>prueba</t>
        </is>
      </c>
      <c r="C34" t="n">
        <v>5.2</v>
      </c>
      <c r="D34" t="n">
        <v>3.5</v>
      </c>
      <c r="E34" t="n">
        <v>1.5</v>
      </c>
      <c r="F34" t="n">
        <v>0.2</v>
      </c>
      <c r="G34" s="7">
        <f>(C34-'Pesos finales'!$B$31)/'Pesos finales'!$B$32</f>
        <v/>
      </c>
      <c r="H34" s="7">
        <f>(D34-'Pesos finales'!$C$31)/'Pesos finales'!$C$32</f>
        <v/>
      </c>
      <c r="I34" s="7">
        <f>(E34-'Pesos finales'!$D$31)/'Pesos finales'!$D$32</f>
        <v/>
      </c>
      <c r="J34" s="7">
        <f>(F34-'Pesos finales'!$E$31)/'Pesos finales'!$E$32</f>
        <v/>
      </c>
      <c r="K34" s="7">
        <f>TANH(G34*'Pesos finales'!$B$5+H34*'Pesos finales'!$B$6+I34*'Pesos finales'!$B$7+J34*'Pesos finales'!$B$8+'Pesos finales'!$B$12)</f>
        <v/>
      </c>
      <c r="L34" s="7">
        <f>TANH(G34*'Pesos finales'!$C$5+H34*'Pesos finales'!$C$6+I34*'Pesos finales'!$C$7+J34*'Pesos finales'!$C$8+'Pesos finales'!$C$12)</f>
        <v/>
      </c>
      <c r="M34" s="7">
        <f>TANH(G34*'Pesos finales'!$D$5+H34*'Pesos finales'!$D$6+I34*'Pesos finales'!$D$7+J34*'Pesos finales'!$D$8+'Pesos finales'!$D$12)</f>
        <v/>
      </c>
      <c r="N34" s="7">
        <f>TANH(G34*'Pesos finales'!$E$5+H34*'Pesos finales'!$E$6+I34*'Pesos finales'!$E$7+J34*'Pesos finales'!$E$8+'Pesos finales'!$E$12)</f>
        <v/>
      </c>
      <c r="O34" s="7">
        <f>TANH(G34*'Pesos finales'!$F$5+H34*'Pesos finales'!$F$6+I34*'Pesos finales'!$F$7+J34*'Pesos finales'!$F$8+'Pesos finales'!$F$12)</f>
        <v/>
      </c>
      <c r="P34" s="7">
        <f>TANH(G34*'Pesos finales'!$G$5+H34*'Pesos finales'!$G$6+I34*'Pesos finales'!$G$7+J34*'Pesos finales'!$G$8+'Pesos finales'!$G$12)</f>
        <v/>
      </c>
      <c r="Q34" s="7">
        <f>TANH(G34*'Pesos finales'!$H$5+H34*'Pesos finales'!$H$6+I34*'Pesos finales'!$H$7+J34*'Pesos finales'!$H$8+'Pesos finales'!$H$12)</f>
        <v/>
      </c>
      <c r="R34" s="7">
        <f>TANH(G34*'Pesos finales'!$I$5+H34*'Pesos finales'!$I$6+I34*'Pesos finales'!$I$7+J34*'Pesos finales'!$I$8+'Pesos finales'!$I$12)</f>
        <v/>
      </c>
      <c r="S34" s="7">
        <f>K34*'Pesos finales'!$B$16+L34*'Pesos finales'!$B$17+M34*'Pesos finales'!$B$18+N34*'Pesos finales'!$B$19+O34*'Pesos finales'!$B$20+P34*'Pesos finales'!$B$21+Q34*'Pesos finales'!$B$22+R34*'Pesos finales'!$B$23+'Pesos finales'!$B$27</f>
        <v/>
      </c>
      <c r="T34" s="7">
        <f>K34*'Pesos finales'!$C$16+L34*'Pesos finales'!$C$17+M34*'Pesos finales'!$C$18+N34*'Pesos finales'!$C$19+O34*'Pesos finales'!$C$20+P34*'Pesos finales'!$C$21+Q34*'Pesos finales'!$C$22+R34*'Pesos finales'!$C$23+'Pesos finales'!$C$27</f>
        <v/>
      </c>
      <c r="U34" s="7">
        <f>K34*'Pesos finales'!$D$16+L34*'Pesos finales'!$D$17+M34*'Pesos finales'!$D$18+N34*'Pesos finales'!$D$19+O34*'Pesos finales'!$D$20+P34*'Pesos finales'!$D$21+Q34*'Pesos finales'!$D$22+R34*'Pesos finales'!$D$23+'Pesos finales'!$D$27</f>
        <v/>
      </c>
      <c r="V34" s="7">
        <f>EXP(S34)/(EXP(S34)+EXP(T34)+EXP(U34))</f>
        <v/>
      </c>
      <c r="W34" s="7">
        <f>EXP(T34)/(EXP(S34)+EXP(T34)+EXP(U34))</f>
        <v/>
      </c>
      <c r="X34" s="7">
        <f>EXP(U34)/(EXP(S34)+EXP(T34)+EXP(U34))</f>
        <v/>
      </c>
      <c r="Y34">
        <f>IF(AND(V34&gt;=W34,V34&gt;=X34),"Iris-setosa",IF(AND(W34&gt;=X34),"Iris-versicolor","Iris-virginica"))</f>
        <v/>
      </c>
      <c r="Z34" t="inlineStr">
        <is>
          <t>Iris-setosa</t>
        </is>
      </c>
      <c r="AA34">
        <f>IF(Y34=Z34,"Sí","No")</f>
        <v/>
      </c>
      <c r="AB34" s="7" t="n">
        <v>0.998143038177193</v>
      </c>
      <c r="AC34" s="7" t="n">
        <v>0.001856884754954658</v>
      </c>
      <c r="AD34" s="7" t="n">
        <v>7.706785233709326e-08</v>
      </c>
      <c r="AE34" t="inlineStr">
        <is>
          <t>Iris-setosa</t>
        </is>
      </c>
      <c r="AF34" s="9">
        <f>MAX(ABS(V34-AB34),ABS(W34-AC34),ABS(X34-AD34))</f>
        <v/>
      </c>
      <c r="AG34">
        <f>IF(AND(Y34=AE34,AF34&lt;1E-9),"Sí","No")</f>
        <v/>
      </c>
    </row>
    <row r="35">
      <c r="A35" t="n">
        <v>29</v>
      </c>
      <c r="B35" t="inlineStr">
        <is>
          <t>entrenamiento</t>
        </is>
      </c>
      <c r="C35" t="n">
        <v>5.2</v>
      </c>
      <c r="D35" t="n">
        <v>3.4</v>
      </c>
      <c r="E35" t="n">
        <v>1.4</v>
      </c>
      <c r="F35" t="n">
        <v>0.2</v>
      </c>
      <c r="G35" s="7">
        <f>(C35-'Pesos finales'!$B$31)/'Pesos finales'!$B$32</f>
        <v/>
      </c>
      <c r="H35" s="7">
        <f>(D35-'Pesos finales'!$C$31)/'Pesos finales'!$C$32</f>
        <v/>
      </c>
      <c r="I35" s="7">
        <f>(E35-'Pesos finales'!$D$31)/'Pesos finales'!$D$32</f>
        <v/>
      </c>
      <c r="J35" s="7">
        <f>(F35-'Pesos finales'!$E$31)/'Pesos finales'!$E$32</f>
        <v/>
      </c>
      <c r="K35" s="7">
        <f>TANH(G35*'Pesos finales'!$B$5+H35*'Pesos finales'!$B$6+I35*'Pesos finales'!$B$7+J35*'Pesos finales'!$B$8+'Pesos finales'!$B$12)</f>
        <v/>
      </c>
      <c r="L35" s="7">
        <f>TANH(G35*'Pesos finales'!$C$5+H35*'Pesos finales'!$C$6+I35*'Pesos finales'!$C$7+J35*'Pesos finales'!$C$8+'Pesos finales'!$C$12)</f>
        <v/>
      </c>
      <c r="M35" s="7">
        <f>TANH(G35*'Pesos finales'!$D$5+H35*'Pesos finales'!$D$6+I35*'Pesos finales'!$D$7+J35*'Pesos finales'!$D$8+'Pesos finales'!$D$12)</f>
        <v/>
      </c>
      <c r="N35" s="7">
        <f>TANH(G35*'Pesos finales'!$E$5+H35*'Pesos finales'!$E$6+I35*'Pesos finales'!$E$7+J35*'Pesos finales'!$E$8+'Pesos finales'!$E$12)</f>
        <v/>
      </c>
      <c r="O35" s="7">
        <f>TANH(G35*'Pesos finales'!$F$5+H35*'Pesos finales'!$F$6+I35*'Pesos finales'!$F$7+J35*'Pesos finales'!$F$8+'Pesos finales'!$F$12)</f>
        <v/>
      </c>
      <c r="P35" s="7">
        <f>TANH(G35*'Pesos finales'!$G$5+H35*'Pesos finales'!$G$6+I35*'Pesos finales'!$G$7+J35*'Pesos finales'!$G$8+'Pesos finales'!$G$12)</f>
        <v/>
      </c>
      <c r="Q35" s="7">
        <f>TANH(G35*'Pesos finales'!$H$5+H35*'Pesos finales'!$H$6+I35*'Pesos finales'!$H$7+J35*'Pesos finales'!$H$8+'Pesos finales'!$H$12)</f>
        <v/>
      </c>
      <c r="R35" s="7">
        <f>TANH(G35*'Pesos finales'!$I$5+H35*'Pesos finales'!$I$6+I35*'Pesos finales'!$I$7+J35*'Pesos finales'!$I$8+'Pesos finales'!$I$12)</f>
        <v/>
      </c>
      <c r="S35" s="7">
        <f>K35*'Pesos finales'!$B$16+L35*'Pesos finales'!$B$17+M35*'Pesos finales'!$B$18+N35*'Pesos finales'!$B$19+O35*'Pesos finales'!$B$20+P35*'Pesos finales'!$B$21+Q35*'Pesos finales'!$B$22+R35*'Pesos finales'!$B$23+'Pesos finales'!$B$27</f>
        <v/>
      </c>
      <c r="T35" s="7">
        <f>K35*'Pesos finales'!$C$16+L35*'Pesos finales'!$C$17+M35*'Pesos finales'!$C$18+N35*'Pesos finales'!$C$19+O35*'Pesos finales'!$C$20+P35*'Pesos finales'!$C$21+Q35*'Pesos finales'!$C$22+R35*'Pesos finales'!$C$23+'Pesos finales'!$C$27</f>
        <v/>
      </c>
      <c r="U35" s="7">
        <f>K35*'Pesos finales'!$D$16+L35*'Pesos finales'!$D$17+M35*'Pesos finales'!$D$18+N35*'Pesos finales'!$D$19+O35*'Pesos finales'!$D$20+P35*'Pesos finales'!$D$21+Q35*'Pesos finales'!$D$22+R35*'Pesos finales'!$D$23+'Pesos finales'!$D$27</f>
        <v/>
      </c>
      <c r="V35" s="7">
        <f>EXP(S35)/(EXP(S35)+EXP(T35)+EXP(U35))</f>
        <v/>
      </c>
      <c r="W35" s="7">
        <f>EXP(T35)/(EXP(S35)+EXP(T35)+EXP(U35))</f>
        <v/>
      </c>
      <c r="X35" s="7">
        <f>EXP(U35)/(EXP(S35)+EXP(T35)+EXP(U35))</f>
        <v/>
      </c>
      <c r="Y35">
        <f>IF(AND(V35&gt;=W35,V35&gt;=X35),"Iris-setosa",IF(AND(W35&gt;=X35),"Iris-versicolor","Iris-virginica"))</f>
        <v/>
      </c>
      <c r="Z35" t="inlineStr">
        <is>
          <t>Iris-setosa</t>
        </is>
      </c>
      <c r="AA35">
        <f>IF(Y35=Z35,"Sí","No")</f>
        <v/>
      </c>
      <c r="AB35" s="7" t="n">
        <v>0.9980768146888671</v>
      </c>
      <c r="AC35" s="7" t="n">
        <v>0.001923106665805579</v>
      </c>
      <c r="AD35" s="7" t="n">
        <v>7.864532744798233e-08</v>
      </c>
      <c r="AE35" t="inlineStr">
        <is>
          <t>Iris-setosa</t>
        </is>
      </c>
      <c r="AF35" s="9">
        <f>MAX(ABS(V35-AB35),ABS(W35-AC35),ABS(X35-AD35))</f>
        <v/>
      </c>
      <c r="AG35">
        <f>IF(AND(Y35=AE35,AF35&lt;1E-9),"Sí","No")</f>
        <v/>
      </c>
    </row>
    <row r="36">
      <c r="A36" t="n">
        <v>30</v>
      </c>
      <c r="B36" t="inlineStr">
        <is>
          <t>entrenamiento</t>
        </is>
      </c>
      <c r="C36" t="n">
        <v>4.7</v>
      </c>
      <c r="D36" t="n">
        <v>3.2</v>
      </c>
      <c r="E36" t="n">
        <v>1.6</v>
      </c>
      <c r="F36" t="n">
        <v>0.2</v>
      </c>
      <c r="G36" s="7">
        <f>(C36-'Pesos finales'!$B$31)/'Pesos finales'!$B$32</f>
        <v/>
      </c>
      <c r="H36" s="7">
        <f>(D36-'Pesos finales'!$C$31)/'Pesos finales'!$C$32</f>
        <v/>
      </c>
      <c r="I36" s="7">
        <f>(E36-'Pesos finales'!$D$31)/'Pesos finales'!$D$32</f>
        <v/>
      </c>
      <c r="J36" s="7">
        <f>(F36-'Pesos finales'!$E$31)/'Pesos finales'!$E$32</f>
        <v/>
      </c>
      <c r="K36" s="7">
        <f>TANH(G36*'Pesos finales'!$B$5+H36*'Pesos finales'!$B$6+I36*'Pesos finales'!$B$7+J36*'Pesos finales'!$B$8+'Pesos finales'!$B$12)</f>
        <v/>
      </c>
      <c r="L36" s="7">
        <f>TANH(G36*'Pesos finales'!$C$5+H36*'Pesos finales'!$C$6+I36*'Pesos finales'!$C$7+J36*'Pesos finales'!$C$8+'Pesos finales'!$C$12)</f>
        <v/>
      </c>
      <c r="M36" s="7">
        <f>TANH(G36*'Pesos finales'!$D$5+H36*'Pesos finales'!$D$6+I36*'Pesos finales'!$D$7+J36*'Pesos finales'!$D$8+'Pesos finales'!$D$12)</f>
        <v/>
      </c>
      <c r="N36" s="7">
        <f>TANH(G36*'Pesos finales'!$E$5+H36*'Pesos finales'!$E$6+I36*'Pesos finales'!$E$7+J36*'Pesos finales'!$E$8+'Pesos finales'!$E$12)</f>
        <v/>
      </c>
      <c r="O36" s="7">
        <f>TANH(G36*'Pesos finales'!$F$5+H36*'Pesos finales'!$F$6+I36*'Pesos finales'!$F$7+J36*'Pesos finales'!$F$8+'Pesos finales'!$F$12)</f>
        <v/>
      </c>
      <c r="P36" s="7">
        <f>TANH(G36*'Pesos finales'!$G$5+H36*'Pesos finales'!$G$6+I36*'Pesos finales'!$G$7+J36*'Pesos finales'!$G$8+'Pesos finales'!$G$12)</f>
        <v/>
      </c>
      <c r="Q36" s="7">
        <f>TANH(G36*'Pesos finales'!$H$5+H36*'Pesos finales'!$H$6+I36*'Pesos finales'!$H$7+J36*'Pesos finales'!$H$8+'Pesos finales'!$H$12)</f>
        <v/>
      </c>
      <c r="R36" s="7">
        <f>TANH(G36*'Pesos finales'!$I$5+H36*'Pesos finales'!$I$6+I36*'Pesos finales'!$I$7+J36*'Pesos finales'!$I$8+'Pesos finales'!$I$12)</f>
        <v/>
      </c>
      <c r="S36" s="7">
        <f>K36*'Pesos finales'!$B$16+L36*'Pesos finales'!$B$17+M36*'Pesos finales'!$B$18+N36*'Pesos finales'!$B$19+O36*'Pesos finales'!$B$20+P36*'Pesos finales'!$B$21+Q36*'Pesos finales'!$B$22+R36*'Pesos finales'!$B$23+'Pesos finales'!$B$27</f>
        <v/>
      </c>
      <c r="T36" s="7">
        <f>K36*'Pesos finales'!$C$16+L36*'Pesos finales'!$C$17+M36*'Pesos finales'!$C$18+N36*'Pesos finales'!$C$19+O36*'Pesos finales'!$C$20+P36*'Pesos finales'!$C$21+Q36*'Pesos finales'!$C$22+R36*'Pesos finales'!$C$23+'Pesos finales'!$C$27</f>
        <v/>
      </c>
      <c r="U36" s="7">
        <f>K36*'Pesos finales'!$D$16+L36*'Pesos finales'!$D$17+M36*'Pesos finales'!$D$18+N36*'Pesos finales'!$D$19+O36*'Pesos finales'!$D$20+P36*'Pesos finales'!$D$21+Q36*'Pesos finales'!$D$22+R36*'Pesos finales'!$D$23+'Pesos finales'!$D$27</f>
        <v/>
      </c>
      <c r="V36" s="7">
        <f>EXP(S36)/(EXP(S36)+EXP(T36)+EXP(U36))</f>
        <v/>
      </c>
      <c r="W36" s="7">
        <f>EXP(T36)/(EXP(S36)+EXP(T36)+EXP(U36))</f>
        <v/>
      </c>
      <c r="X36" s="7">
        <f>EXP(U36)/(EXP(S36)+EXP(T36)+EXP(U36))</f>
        <v/>
      </c>
      <c r="Y36">
        <f>IF(AND(V36&gt;=W36,V36&gt;=X36),"Iris-setosa",IF(AND(W36&gt;=X36),"Iris-versicolor","Iris-virginica"))</f>
        <v/>
      </c>
      <c r="Z36" t="inlineStr">
        <is>
          <t>Iris-setosa</t>
        </is>
      </c>
      <c r="AA36">
        <f>IF(Y36=Z36,"Sí","No")</f>
        <v/>
      </c>
      <c r="AB36" s="7" t="n">
        <v>0.9979430820762231</v>
      </c>
      <c r="AC36" s="7" t="n">
        <v>0.002056829928614445</v>
      </c>
      <c r="AD36" s="7" t="n">
        <v>8.799516260545393e-08</v>
      </c>
      <c r="AE36" t="inlineStr">
        <is>
          <t>Iris-setosa</t>
        </is>
      </c>
      <c r="AF36" s="9">
        <f>MAX(ABS(V36-AB36),ABS(W36-AC36),ABS(X36-AD36))</f>
        <v/>
      </c>
      <c r="AG36">
        <f>IF(AND(Y36=AE36,AF36&lt;1E-9),"Sí","No")</f>
        <v/>
      </c>
    </row>
    <row r="37">
      <c r="A37" t="n">
        <v>31</v>
      </c>
      <c r="B37" t="inlineStr">
        <is>
          <t>entrenamiento</t>
        </is>
      </c>
      <c r="C37" t="n">
        <v>4.8</v>
      </c>
      <c r="D37" t="n">
        <v>3.1</v>
      </c>
      <c r="E37" t="n">
        <v>1.6</v>
      </c>
      <c r="F37" t="n">
        <v>0.2</v>
      </c>
      <c r="G37" s="7">
        <f>(C37-'Pesos finales'!$B$31)/'Pesos finales'!$B$32</f>
        <v/>
      </c>
      <c r="H37" s="7">
        <f>(D37-'Pesos finales'!$C$31)/'Pesos finales'!$C$32</f>
        <v/>
      </c>
      <c r="I37" s="7">
        <f>(E37-'Pesos finales'!$D$31)/'Pesos finales'!$D$32</f>
        <v/>
      </c>
      <c r="J37" s="7">
        <f>(F37-'Pesos finales'!$E$31)/'Pesos finales'!$E$32</f>
        <v/>
      </c>
      <c r="K37" s="7">
        <f>TANH(G37*'Pesos finales'!$B$5+H37*'Pesos finales'!$B$6+I37*'Pesos finales'!$B$7+J37*'Pesos finales'!$B$8+'Pesos finales'!$B$12)</f>
        <v/>
      </c>
      <c r="L37" s="7">
        <f>TANH(G37*'Pesos finales'!$C$5+H37*'Pesos finales'!$C$6+I37*'Pesos finales'!$C$7+J37*'Pesos finales'!$C$8+'Pesos finales'!$C$12)</f>
        <v/>
      </c>
      <c r="M37" s="7">
        <f>TANH(G37*'Pesos finales'!$D$5+H37*'Pesos finales'!$D$6+I37*'Pesos finales'!$D$7+J37*'Pesos finales'!$D$8+'Pesos finales'!$D$12)</f>
        <v/>
      </c>
      <c r="N37" s="7">
        <f>TANH(G37*'Pesos finales'!$E$5+H37*'Pesos finales'!$E$6+I37*'Pesos finales'!$E$7+J37*'Pesos finales'!$E$8+'Pesos finales'!$E$12)</f>
        <v/>
      </c>
      <c r="O37" s="7">
        <f>TANH(G37*'Pesos finales'!$F$5+H37*'Pesos finales'!$F$6+I37*'Pesos finales'!$F$7+J37*'Pesos finales'!$F$8+'Pesos finales'!$F$12)</f>
        <v/>
      </c>
      <c r="P37" s="7">
        <f>TANH(G37*'Pesos finales'!$G$5+H37*'Pesos finales'!$G$6+I37*'Pesos finales'!$G$7+J37*'Pesos finales'!$G$8+'Pesos finales'!$G$12)</f>
        <v/>
      </c>
      <c r="Q37" s="7">
        <f>TANH(G37*'Pesos finales'!$H$5+H37*'Pesos finales'!$H$6+I37*'Pesos finales'!$H$7+J37*'Pesos finales'!$H$8+'Pesos finales'!$H$12)</f>
        <v/>
      </c>
      <c r="R37" s="7">
        <f>TANH(G37*'Pesos finales'!$I$5+H37*'Pesos finales'!$I$6+I37*'Pesos finales'!$I$7+J37*'Pesos finales'!$I$8+'Pesos finales'!$I$12)</f>
        <v/>
      </c>
      <c r="S37" s="7">
        <f>K37*'Pesos finales'!$B$16+L37*'Pesos finales'!$B$17+M37*'Pesos finales'!$B$18+N37*'Pesos finales'!$B$19+O37*'Pesos finales'!$B$20+P37*'Pesos finales'!$B$21+Q37*'Pesos finales'!$B$22+R37*'Pesos finales'!$B$23+'Pesos finales'!$B$27</f>
        <v/>
      </c>
      <c r="T37" s="7">
        <f>K37*'Pesos finales'!$C$16+L37*'Pesos finales'!$C$17+M37*'Pesos finales'!$C$18+N37*'Pesos finales'!$C$19+O37*'Pesos finales'!$C$20+P37*'Pesos finales'!$C$21+Q37*'Pesos finales'!$C$22+R37*'Pesos finales'!$C$23+'Pesos finales'!$C$27</f>
        <v/>
      </c>
      <c r="U37" s="7">
        <f>K37*'Pesos finales'!$D$16+L37*'Pesos finales'!$D$17+M37*'Pesos finales'!$D$18+N37*'Pesos finales'!$D$19+O37*'Pesos finales'!$D$20+P37*'Pesos finales'!$D$21+Q37*'Pesos finales'!$D$22+R37*'Pesos finales'!$D$23+'Pesos finales'!$D$27</f>
        <v/>
      </c>
      <c r="V37" s="7">
        <f>EXP(S37)/(EXP(S37)+EXP(T37)+EXP(U37))</f>
        <v/>
      </c>
      <c r="W37" s="7">
        <f>EXP(T37)/(EXP(S37)+EXP(T37)+EXP(U37))</f>
        <v/>
      </c>
      <c r="X37" s="7">
        <f>EXP(U37)/(EXP(S37)+EXP(T37)+EXP(U37))</f>
        <v/>
      </c>
      <c r="Y37">
        <f>IF(AND(V37&gt;=W37,V37&gt;=X37),"Iris-setosa",IF(AND(W37&gt;=X37),"Iris-versicolor","Iris-virginica"))</f>
        <v/>
      </c>
      <c r="Z37" t="inlineStr">
        <is>
          <t>Iris-setosa</t>
        </is>
      </c>
      <c r="AA37">
        <f>IF(Y37=Z37,"Sí","No")</f>
        <v/>
      </c>
      <c r="AB37" s="7" t="n">
        <v>0.9976939457246908</v>
      </c>
      <c r="AC37" s="7" t="n">
        <v>0.00230595927573015</v>
      </c>
      <c r="AD37" s="7" t="n">
        <v>9.499957894030902e-08</v>
      </c>
      <c r="AE37" t="inlineStr">
        <is>
          <t>Iris-setosa</t>
        </is>
      </c>
      <c r="AF37" s="9">
        <f>MAX(ABS(V37-AB37),ABS(W37-AC37),ABS(X37-AD37))</f>
        <v/>
      </c>
      <c r="AG37">
        <f>IF(AND(Y37=AE37,AF37&lt;1E-9),"Sí","No")</f>
        <v/>
      </c>
    </row>
    <row r="38">
      <c r="A38" t="n">
        <v>32</v>
      </c>
      <c r="B38" t="inlineStr">
        <is>
          <t>entrenamiento</t>
        </is>
      </c>
      <c r="C38" t="n">
        <v>5.4</v>
      </c>
      <c r="D38" t="n">
        <v>3.4</v>
      </c>
      <c r="E38" t="n">
        <v>1.5</v>
      </c>
      <c r="F38" t="n">
        <v>0.4</v>
      </c>
      <c r="G38" s="7">
        <f>(C38-'Pesos finales'!$B$31)/'Pesos finales'!$B$32</f>
        <v/>
      </c>
      <c r="H38" s="7">
        <f>(D38-'Pesos finales'!$C$31)/'Pesos finales'!$C$32</f>
        <v/>
      </c>
      <c r="I38" s="7">
        <f>(E38-'Pesos finales'!$D$31)/'Pesos finales'!$D$32</f>
        <v/>
      </c>
      <c r="J38" s="7">
        <f>(F38-'Pesos finales'!$E$31)/'Pesos finales'!$E$32</f>
        <v/>
      </c>
      <c r="K38" s="7">
        <f>TANH(G38*'Pesos finales'!$B$5+H38*'Pesos finales'!$B$6+I38*'Pesos finales'!$B$7+J38*'Pesos finales'!$B$8+'Pesos finales'!$B$12)</f>
        <v/>
      </c>
      <c r="L38" s="7">
        <f>TANH(G38*'Pesos finales'!$C$5+H38*'Pesos finales'!$C$6+I38*'Pesos finales'!$C$7+J38*'Pesos finales'!$C$8+'Pesos finales'!$C$12)</f>
        <v/>
      </c>
      <c r="M38" s="7">
        <f>TANH(G38*'Pesos finales'!$D$5+H38*'Pesos finales'!$D$6+I38*'Pesos finales'!$D$7+J38*'Pesos finales'!$D$8+'Pesos finales'!$D$12)</f>
        <v/>
      </c>
      <c r="N38" s="7">
        <f>TANH(G38*'Pesos finales'!$E$5+H38*'Pesos finales'!$E$6+I38*'Pesos finales'!$E$7+J38*'Pesos finales'!$E$8+'Pesos finales'!$E$12)</f>
        <v/>
      </c>
      <c r="O38" s="7">
        <f>TANH(G38*'Pesos finales'!$F$5+H38*'Pesos finales'!$F$6+I38*'Pesos finales'!$F$7+J38*'Pesos finales'!$F$8+'Pesos finales'!$F$12)</f>
        <v/>
      </c>
      <c r="P38" s="7">
        <f>TANH(G38*'Pesos finales'!$G$5+H38*'Pesos finales'!$G$6+I38*'Pesos finales'!$G$7+J38*'Pesos finales'!$G$8+'Pesos finales'!$G$12)</f>
        <v/>
      </c>
      <c r="Q38" s="7">
        <f>TANH(G38*'Pesos finales'!$H$5+H38*'Pesos finales'!$H$6+I38*'Pesos finales'!$H$7+J38*'Pesos finales'!$H$8+'Pesos finales'!$H$12)</f>
        <v/>
      </c>
      <c r="R38" s="7">
        <f>TANH(G38*'Pesos finales'!$I$5+H38*'Pesos finales'!$I$6+I38*'Pesos finales'!$I$7+J38*'Pesos finales'!$I$8+'Pesos finales'!$I$12)</f>
        <v/>
      </c>
      <c r="S38" s="7">
        <f>K38*'Pesos finales'!$B$16+L38*'Pesos finales'!$B$17+M38*'Pesos finales'!$B$18+N38*'Pesos finales'!$B$19+O38*'Pesos finales'!$B$20+P38*'Pesos finales'!$B$21+Q38*'Pesos finales'!$B$22+R38*'Pesos finales'!$B$23+'Pesos finales'!$B$27</f>
        <v/>
      </c>
      <c r="T38" s="7">
        <f>K38*'Pesos finales'!$C$16+L38*'Pesos finales'!$C$17+M38*'Pesos finales'!$C$18+N38*'Pesos finales'!$C$19+O38*'Pesos finales'!$C$20+P38*'Pesos finales'!$C$21+Q38*'Pesos finales'!$C$22+R38*'Pesos finales'!$C$23+'Pesos finales'!$C$27</f>
        <v/>
      </c>
      <c r="U38" s="7">
        <f>K38*'Pesos finales'!$D$16+L38*'Pesos finales'!$D$17+M38*'Pesos finales'!$D$18+N38*'Pesos finales'!$D$19+O38*'Pesos finales'!$D$20+P38*'Pesos finales'!$D$21+Q38*'Pesos finales'!$D$22+R38*'Pesos finales'!$D$23+'Pesos finales'!$D$27</f>
        <v/>
      </c>
      <c r="V38" s="7">
        <f>EXP(S38)/(EXP(S38)+EXP(T38)+EXP(U38))</f>
        <v/>
      </c>
      <c r="W38" s="7">
        <f>EXP(T38)/(EXP(S38)+EXP(T38)+EXP(U38))</f>
        <v/>
      </c>
      <c r="X38" s="7">
        <f>EXP(U38)/(EXP(S38)+EXP(T38)+EXP(U38))</f>
        <v/>
      </c>
      <c r="Y38">
        <f>IF(AND(V38&gt;=W38,V38&gt;=X38),"Iris-setosa",IF(AND(W38&gt;=X38),"Iris-versicolor","Iris-virginica"))</f>
        <v/>
      </c>
      <c r="Z38" t="inlineStr">
        <is>
          <t>Iris-setosa</t>
        </is>
      </c>
      <c r="AA38">
        <f>IF(Y38=Z38,"Sí","No")</f>
        <v/>
      </c>
      <c r="AB38" s="7" t="n">
        <v>0.9976310285633815</v>
      </c>
      <c r="AC38" s="7" t="n">
        <v>0.002368874457874308</v>
      </c>
      <c r="AD38" s="7" t="n">
        <v>9.697874438435308e-08</v>
      </c>
      <c r="AE38" t="inlineStr">
        <is>
          <t>Iris-setosa</t>
        </is>
      </c>
      <c r="AF38" s="9">
        <f>MAX(ABS(V38-AB38),ABS(W38-AC38),ABS(X38-AD38))</f>
        <v/>
      </c>
      <c r="AG38">
        <f>IF(AND(Y38=AE38,AF38&lt;1E-9),"Sí","No")</f>
        <v/>
      </c>
    </row>
    <row r="39">
      <c r="A39" t="n">
        <v>33</v>
      </c>
      <c r="B39" t="inlineStr">
        <is>
          <t>entrenamiento</t>
        </is>
      </c>
      <c r="C39" t="n">
        <v>5.2</v>
      </c>
      <c r="D39" t="n">
        <v>4.1</v>
      </c>
      <c r="E39" t="n">
        <v>1.5</v>
      </c>
      <c r="F39" t="n">
        <v>0.1</v>
      </c>
      <c r="G39" s="7">
        <f>(C39-'Pesos finales'!$B$31)/'Pesos finales'!$B$32</f>
        <v/>
      </c>
      <c r="H39" s="7">
        <f>(D39-'Pesos finales'!$C$31)/'Pesos finales'!$C$32</f>
        <v/>
      </c>
      <c r="I39" s="7">
        <f>(E39-'Pesos finales'!$D$31)/'Pesos finales'!$D$32</f>
        <v/>
      </c>
      <c r="J39" s="7">
        <f>(F39-'Pesos finales'!$E$31)/'Pesos finales'!$E$32</f>
        <v/>
      </c>
      <c r="K39" s="7">
        <f>TANH(G39*'Pesos finales'!$B$5+H39*'Pesos finales'!$B$6+I39*'Pesos finales'!$B$7+J39*'Pesos finales'!$B$8+'Pesos finales'!$B$12)</f>
        <v/>
      </c>
      <c r="L39" s="7">
        <f>TANH(G39*'Pesos finales'!$C$5+H39*'Pesos finales'!$C$6+I39*'Pesos finales'!$C$7+J39*'Pesos finales'!$C$8+'Pesos finales'!$C$12)</f>
        <v/>
      </c>
      <c r="M39" s="7">
        <f>TANH(G39*'Pesos finales'!$D$5+H39*'Pesos finales'!$D$6+I39*'Pesos finales'!$D$7+J39*'Pesos finales'!$D$8+'Pesos finales'!$D$12)</f>
        <v/>
      </c>
      <c r="N39" s="7">
        <f>TANH(G39*'Pesos finales'!$E$5+H39*'Pesos finales'!$E$6+I39*'Pesos finales'!$E$7+J39*'Pesos finales'!$E$8+'Pesos finales'!$E$12)</f>
        <v/>
      </c>
      <c r="O39" s="7">
        <f>TANH(G39*'Pesos finales'!$F$5+H39*'Pesos finales'!$F$6+I39*'Pesos finales'!$F$7+J39*'Pesos finales'!$F$8+'Pesos finales'!$F$12)</f>
        <v/>
      </c>
      <c r="P39" s="7">
        <f>TANH(G39*'Pesos finales'!$G$5+H39*'Pesos finales'!$G$6+I39*'Pesos finales'!$G$7+J39*'Pesos finales'!$G$8+'Pesos finales'!$G$12)</f>
        <v/>
      </c>
      <c r="Q39" s="7">
        <f>TANH(G39*'Pesos finales'!$H$5+H39*'Pesos finales'!$H$6+I39*'Pesos finales'!$H$7+J39*'Pesos finales'!$H$8+'Pesos finales'!$H$12)</f>
        <v/>
      </c>
      <c r="R39" s="7">
        <f>TANH(G39*'Pesos finales'!$I$5+H39*'Pesos finales'!$I$6+I39*'Pesos finales'!$I$7+J39*'Pesos finales'!$I$8+'Pesos finales'!$I$12)</f>
        <v/>
      </c>
      <c r="S39" s="7">
        <f>K39*'Pesos finales'!$B$16+L39*'Pesos finales'!$B$17+M39*'Pesos finales'!$B$18+N39*'Pesos finales'!$B$19+O39*'Pesos finales'!$B$20+P39*'Pesos finales'!$B$21+Q39*'Pesos finales'!$B$22+R39*'Pesos finales'!$B$23+'Pesos finales'!$B$27</f>
        <v/>
      </c>
      <c r="T39" s="7">
        <f>K39*'Pesos finales'!$C$16+L39*'Pesos finales'!$C$17+M39*'Pesos finales'!$C$18+N39*'Pesos finales'!$C$19+O39*'Pesos finales'!$C$20+P39*'Pesos finales'!$C$21+Q39*'Pesos finales'!$C$22+R39*'Pesos finales'!$C$23+'Pesos finales'!$C$27</f>
        <v/>
      </c>
      <c r="U39" s="7">
        <f>K39*'Pesos finales'!$D$16+L39*'Pesos finales'!$D$17+M39*'Pesos finales'!$D$18+N39*'Pesos finales'!$D$19+O39*'Pesos finales'!$D$20+P39*'Pesos finales'!$D$21+Q39*'Pesos finales'!$D$22+R39*'Pesos finales'!$D$23+'Pesos finales'!$D$27</f>
        <v/>
      </c>
      <c r="V39" s="7">
        <f>EXP(S39)/(EXP(S39)+EXP(T39)+EXP(U39))</f>
        <v/>
      </c>
      <c r="W39" s="7">
        <f>EXP(T39)/(EXP(S39)+EXP(T39)+EXP(U39))</f>
        <v/>
      </c>
      <c r="X39" s="7">
        <f>EXP(U39)/(EXP(S39)+EXP(T39)+EXP(U39))</f>
        <v/>
      </c>
      <c r="Y39">
        <f>IF(AND(V39&gt;=W39,V39&gt;=X39),"Iris-setosa",IF(AND(W39&gt;=X39),"Iris-versicolor","Iris-virginica"))</f>
        <v/>
      </c>
      <c r="Z39" t="inlineStr">
        <is>
          <t>Iris-setosa</t>
        </is>
      </c>
      <c r="AA39">
        <f>IF(Y39=Z39,"Sí","No")</f>
        <v/>
      </c>
      <c r="AB39" s="7" t="n">
        <v>0.9984517109119259</v>
      </c>
      <c r="AC39" s="7" t="n">
        <v>0.001548221172147314</v>
      </c>
      <c r="AD39" s="7" t="n">
        <v>6.791592676345498e-08</v>
      </c>
      <c r="AE39" t="inlineStr">
        <is>
          <t>Iris-setosa</t>
        </is>
      </c>
      <c r="AF39" s="9">
        <f>MAX(ABS(V39-AB39),ABS(W39-AC39),ABS(X39-AD39))</f>
        <v/>
      </c>
      <c r="AG39">
        <f>IF(AND(Y39=AE39,AF39&lt;1E-9),"Sí","No")</f>
        <v/>
      </c>
    </row>
    <row r="40">
      <c r="A40" t="n">
        <v>34</v>
      </c>
      <c r="B40" t="inlineStr">
        <is>
          <t>entrenamiento</t>
        </is>
      </c>
      <c r="C40" t="n">
        <v>5.5</v>
      </c>
      <c r="D40" t="n">
        <v>4.2</v>
      </c>
      <c r="E40" t="n">
        <v>1.4</v>
      </c>
      <c r="F40" t="n">
        <v>0.2</v>
      </c>
      <c r="G40" s="7">
        <f>(C40-'Pesos finales'!$B$31)/'Pesos finales'!$B$32</f>
        <v/>
      </c>
      <c r="H40" s="7">
        <f>(D40-'Pesos finales'!$C$31)/'Pesos finales'!$C$32</f>
        <v/>
      </c>
      <c r="I40" s="7">
        <f>(E40-'Pesos finales'!$D$31)/'Pesos finales'!$D$32</f>
        <v/>
      </c>
      <c r="J40" s="7">
        <f>(F40-'Pesos finales'!$E$31)/'Pesos finales'!$E$32</f>
        <v/>
      </c>
      <c r="K40" s="7">
        <f>TANH(G40*'Pesos finales'!$B$5+H40*'Pesos finales'!$B$6+I40*'Pesos finales'!$B$7+J40*'Pesos finales'!$B$8+'Pesos finales'!$B$12)</f>
        <v/>
      </c>
      <c r="L40" s="7">
        <f>TANH(G40*'Pesos finales'!$C$5+H40*'Pesos finales'!$C$6+I40*'Pesos finales'!$C$7+J40*'Pesos finales'!$C$8+'Pesos finales'!$C$12)</f>
        <v/>
      </c>
      <c r="M40" s="7">
        <f>TANH(G40*'Pesos finales'!$D$5+H40*'Pesos finales'!$D$6+I40*'Pesos finales'!$D$7+J40*'Pesos finales'!$D$8+'Pesos finales'!$D$12)</f>
        <v/>
      </c>
      <c r="N40" s="7">
        <f>TANH(G40*'Pesos finales'!$E$5+H40*'Pesos finales'!$E$6+I40*'Pesos finales'!$E$7+J40*'Pesos finales'!$E$8+'Pesos finales'!$E$12)</f>
        <v/>
      </c>
      <c r="O40" s="7">
        <f>TANH(G40*'Pesos finales'!$F$5+H40*'Pesos finales'!$F$6+I40*'Pesos finales'!$F$7+J40*'Pesos finales'!$F$8+'Pesos finales'!$F$12)</f>
        <v/>
      </c>
      <c r="P40" s="7">
        <f>TANH(G40*'Pesos finales'!$G$5+H40*'Pesos finales'!$G$6+I40*'Pesos finales'!$G$7+J40*'Pesos finales'!$G$8+'Pesos finales'!$G$12)</f>
        <v/>
      </c>
      <c r="Q40" s="7">
        <f>TANH(G40*'Pesos finales'!$H$5+H40*'Pesos finales'!$H$6+I40*'Pesos finales'!$H$7+J40*'Pesos finales'!$H$8+'Pesos finales'!$H$12)</f>
        <v/>
      </c>
      <c r="R40" s="7">
        <f>TANH(G40*'Pesos finales'!$I$5+H40*'Pesos finales'!$I$6+I40*'Pesos finales'!$I$7+J40*'Pesos finales'!$I$8+'Pesos finales'!$I$12)</f>
        <v/>
      </c>
      <c r="S40" s="7">
        <f>K40*'Pesos finales'!$B$16+L40*'Pesos finales'!$B$17+M40*'Pesos finales'!$B$18+N40*'Pesos finales'!$B$19+O40*'Pesos finales'!$B$20+P40*'Pesos finales'!$B$21+Q40*'Pesos finales'!$B$22+R40*'Pesos finales'!$B$23+'Pesos finales'!$B$27</f>
        <v/>
      </c>
      <c r="T40" s="7">
        <f>K40*'Pesos finales'!$C$16+L40*'Pesos finales'!$C$17+M40*'Pesos finales'!$C$18+N40*'Pesos finales'!$C$19+O40*'Pesos finales'!$C$20+P40*'Pesos finales'!$C$21+Q40*'Pesos finales'!$C$22+R40*'Pesos finales'!$C$23+'Pesos finales'!$C$27</f>
        <v/>
      </c>
      <c r="U40" s="7">
        <f>K40*'Pesos finales'!$D$16+L40*'Pesos finales'!$D$17+M40*'Pesos finales'!$D$18+N40*'Pesos finales'!$D$19+O40*'Pesos finales'!$D$20+P40*'Pesos finales'!$D$21+Q40*'Pesos finales'!$D$22+R40*'Pesos finales'!$D$23+'Pesos finales'!$D$27</f>
        <v/>
      </c>
      <c r="V40" s="7">
        <f>EXP(S40)/(EXP(S40)+EXP(T40)+EXP(U40))</f>
        <v/>
      </c>
      <c r="W40" s="7">
        <f>EXP(T40)/(EXP(S40)+EXP(T40)+EXP(U40))</f>
        <v/>
      </c>
      <c r="X40" s="7">
        <f>EXP(U40)/(EXP(S40)+EXP(T40)+EXP(U40))</f>
        <v/>
      </c>
      <c r="Y40">
        <f>IF(AND(V40&gt;=W40,V40&gt;=X40),"Iris-setosa",IF(AND(W40&gt;=X40),"Iris-versicolor","Iris-virginica"))</f>
        <v/>
      </c>
      <c r="Z40" t="inlineStr">
        <is>
          <t>Iris-setosa</t>
        </is>
      </c>
      <c r="AA40">
        <f>IF(Y40=Z40,"Sí","No")</f>
        <v/>
      </c>
      <c r="AB40" s="7" t="n">
        <v>0.9984472417670601</v>
      </c>
      <c r="AC40" s="7" t="n">
        <v>0.001552691203605149</v>
      </c>
      <c r="AD40" s="7" t="n">
        <v>6.702933479557214e-08</v>
      </c>
      <c r="AE40" t="inlineStr">
        <is>
          <t>Iris-setosa</t>
        </is>
      </c>
      <c r="AF40" s="9">
        <f>MAX(ABS(V40-AB40),ABS(W40-AC40),ABS(X40-AD40))</f>
        <v/>
      </c>
      <c r="AG40">
        <f>IF(AND(Y40=AE40,AF40&lt;1E-9),"Sí","No")</f>
        <v/>
      </c>
    </row>
    <row r="41">
      <c r="A41" t="n">
        <v>35</v>
      </c>
      <c r="B41" t="inlineStr">
        <is>
          <t>entrenamiento</t>
        </is>
      </c>
      <c r="C41" t="n">
        <v>4.9</v>
      </c>
      <c r="D41" t="n">
        <v>3.1</v>
      </c>
      <c r="E41" t="n">
        <v>1.5</v>
      </c>
      <c r="F41" t="n">
        <v>0.1</v>
      </c>
      <c r="G41" s="7">
        <f>(C41-'Pesos finales'!$B$31)/'Pesos finales'!$B$32</f>
        <v/>
      </c>
      <c r="H41" s="7">
        <f>(D41-'Pesos finales'!$C$31)/'Pesos finales'!$C$32</f>
        <v/>
      </c>
      <c r="I41" s="7">
        <f>(E41-'Pesos finales'!$D$31)/'Pesos finales'!$D$32</f>
        <v/>
      </c>
      <c r="J41" s="7">
        <f>(F41-'Pesos finales'!$E$31)/'Pesos finales'!$E$32</f>
        <v/>
      </c>
      <c r="K41" s="7">
        <f>TANH(G41*'Pesos finales'!$B$5+H41*'Pesos finales'!$B$6+I41*'Pesos finales'!$B$7+J41*'Pesos finales'!$B$8+'Pesos finales'!$B$12)</f>
        <v/>
      </c>
      <c r="L41" s="7">
        <f>TANH(G41*'Pesos finales'!$C$5+H41*'Pesos finales'!$C$6+I41*'Pesos finales'!$C$7+J41*'Pesos finales'!$C$8+'Pesos finales'!$C$12)</f>
        <v/>
      </c>
      <c r="M41" s="7">
        <f>TANH(G41*'Pesos finales'!$D$5+H41*'Pesos finales'!$D$6+I41*'Pesos finales'!$D$7+J41*'Pesos finales'!$D$8+'Pesos finales'!$D$12)</f>
        <v/>
      </c>
      <c r="N41" s="7">
        <f>TANH(G41*'Pesos finales'!$E$5+H41*'Pesos finales'!$E$6+I41*'Pesos finales'!$E$7+J41*'Pesos finales'!$E$8+'Pesos finales'!$E$12)</f>
        <v/>
      </c>
      <c r="O41" s="7">
        <f>TANH(G41*'Pesos finales'!$F$5+H41*'Pesos finales'!$F$6+I41*'Pesos finales'!$F$7+J41*'Pesos finales'!$F$8+'Pesos finales'!$F$12)</f>
        <v/>
      </c>
      <c r="P41" s="7">
        <f>TANH(G41*'Pesos finales'!$G$5+H41*'Pesos finales'!$G$6+I41*'Pesos finales'!$G$7+J41*'Pesos finales'!$G$8+'Pesos finales'!$G$12)</f>
        <v/>
      </c>
      <c r="Q41" s="7">
        <f>TANH(G41*'Pesos finales'!$H$5+H41*'Pesos finales'!$H$6+I41*'Pesos finales'!$H$7+J41*'Pesos finales'!$H$8+'Pesos finales'!$H$12)</f>
        <v/>
      </c>
      <c r="R41" s="7">
        <f>TANH(G41*'Pesos finales'!$I$5+H41*'Pesos finales'!$I$6+I41*'Pesos finales'!$I$7+J41*'Pesos finales'!$I$8+'Pesos finales'!$I$12)</f>
        <v/>
      </c>
      <c r="S41" s="7">
        <f>K41*'Pesos finales'!$B$16+L41*'Pesos finales'!$B$17+M41*'Pesos finales'!$B$18+N41*'Pesos finales'!$B$19+O41*'Pesos finales'!$B$20+P41*'Pesos finales'!$B$21+Q41*'Pesos finales'!$B$22+R41*'Pesos finales'!$B$23+'Pesos finales'!$B$27</f>
        <v/>
      </c>
      <c r="T41" s="7">
        <f>K41*'Pesos finales'!$C$16+L41*'Pesos finales'!$C$17+M41*'Pesos finales'!$C$18+N41*'Pesos finales'!$C$19+O41*'Pesos finales'!$C$20+P41*'Pesos finales'!$C$21+Q41*'Pesos finales'!$C$22+R41*'Pesos finales'!$C$23+'Pesos finales'!$C$27</f>
        <v/>
      </c>
      <c r="U41" s="7">
        <f>K41*'Pesos finales'!$D$16+L41*'Pesos finales'!$D$17+M41*'Pesos finales'!$D$18+N41*'Pesos finales'!$D$19+O41*'Pesos finales'!$D$20+P41*'Pesos finales'!$D$21+Q41*'Pesos finales'!$D$22+R41*'Pesos finales'!$D$23+'Pesos finales'!$D$27</f>
        <v/>
      </c>
      <c r="V41" s="7">
        <f>EXP(S41)/(EXP(S41)+EXP(T41)+EXP(U41))</f>
        <v/>
      </c>
      <c r="W41" s="7">
        <f>EXP(T41)/(EXP(S41)+EXP(T41)+EXP(U41))</f>
        <v/>
      </c>
      <c r="X41" s="7">
        <f>EXP(U41)/(EXP(S41)+EXP(T41)+EXP(U41))</f>
        <v/>
      </c>
      <c r="Y41">
        <f>IF(AND(V41&gt;=W41,V41&gt;=X41),"Iris-setosa",IF(AND(W41&gt;=X41),"Iris-versicolor","Iris-virginica"))</f>
        <v/>
      </c>
      <c r="Z41" t="inlineStr">
        <is>
          <t>Iris-setosa</t>
        </is>
      </c>
      <c r="AA41">
        <f>IF(Y41=Z41,"Sí","No")</f>
        <v/>
      </c>
      <c r="AB41" s="7" t="n">
        <v>0.9978366774165695</v>
      </c>
      <c r="AC41" s="7" t="n">
        <v>0.002163235861435314</v>
      </c>
      <c r="AD41" s="7" t="n">
        <v>8.672199527759374e-08</v>
      </c>
      <c r="AE41" t="inlineStr">
        <is>
          <t>Iris-setosa</t>
        </is>
      </c>
      <c r="AF41" s="9">
        <f>MAX(ABS(V41-AB41),ABS(W41-AC41),ABS(X41-AD41))</f>
        <v/>
      </c>
      <c r="AG41">
        <f>IF(AND(Y41=AE41,AF41&lt;1E-9),"Sí","No")</f>
        <v/>
      </c>
    </row>
    <row r="42">
      <c r="A42" t="n">
        <v>36</v>
      </c>
      <c r="B42" t="inlineStr">
        <is>
          <t>entrenamiento</t>
        </is>
      </c>
      <c r="C42" t="n">
        <v>5</v>
      </c>
      <c r="D42" t="n">
        <v>3.2</v>
      </c>
      <c r="E42" t="n">
        <v>1.2</v>
      </c>
      <c r="F42" t="n">
        <v>0.2</v>
      </c>
      <c r="G42" s="7">
        <f>(C42-'Pesos finales'!$B$31)/'Pesos finales'!$B$32</f>
        <v/>
      </c>
      <c r="H42" s="7">
        <f>(D42-'Pesos finales'!$C$31)/'Pesos finales'!$C$32</f>
        <v/>
      </c>
      <c r="I42" s="7">
        <f>(E42-'Pesos finales'!$D$31)/'Pesos finales'!$D$32</f>
        <v/>
      </c>
      <c r="J42" s="7">
        <f>(F42-'Pesos finales'!$E$31)/'Pesos finales'!$E$32</f>
        <v/>
      </c>
      <c r="K42" s="7">
        <f>TANH(G42*'Pesos finales'!$B$5+H42*'Pesos finales'!$B$6+I42*'Pesos finales'!$B$7+J42*'Pesos finales'!$B$8+'Pesos finales'!$B$12)</f>
        <v/>
      </c>
      <c r="L42" s="7">
        <f>TANH(G42*'Pesos finales'!$C$5+H42*'Pesos finales'!$C$6+I42*'Pesos finales'!$C$7+J42*'Pesos finales'!$C$8+'Pesos finales'!$C$12)</f>
        <v/>
      </c>
      <c r="M42" s="7">
        <f>TANH(G42*'Pesos finales'!$D$5+H42*'Pesos finales'!$D$6+I42*'Pesos finales'!$D$7+J42*'Pesos finales'!$D$8+'Pesos finales'!$D$12)</f>
        <v/>
      </c>
      <c r="N42" s="7">
        <f>TANH(G42*'Pesos finales'!$E$5+H42*'Pesos finales'!$E$6+I42*'Pesos finales'!$E$7+J42*'Pesos finales'!$E$8+'Pesos finales'!$E$12)</f>
        <v/>
      </c>
      <c r="O42" s="7">
        <f>TANH(G42*'Pesos finales'!$F$5+H42*'Pesos finales'!$F$6+I42*'Pesos finales'!$F$7+J42*'Pesos finales'!$F$8+'Pesos finales'!$F$12)</f>
        <v/>
      </c>
      <c r="P42" s="7">
        <f>TANH(G42*'Pesos finales'!$G$5+H42*'Pesos finales'!$G$6+I42*'Pesos finales'!$G$7+J42*'Pesos finales'!$G$8+'Pesos finales'!$G$12)</f>
        <v/>
      </c>
      <c r="Q42" s="7">
        <f>TANH(G42*'Pesos finales'!$H$5+H42*'Pesos finales'!$H$6+I42*'Pesos finales'!$H$7+J42*'Pesos finales'!$H$8+'Pesos finales'!$H$12)</f>
        <v/>
      </c>
      <c r="R42" s="7">
        <f>TANH(G42*'Pesos finales'!$I$5+H42*'Pesos finales'!$I$6+I42*'Pesos finales'!$I$7+J42*'Pesos finales'!$I$8+'Pesos finales'!$I$12)</f>
        <v/>
      </c>
      <c r="S42" s="7">
        <f>K42*'Pesos finales'!$B$16+L42*'Pesos finales'!$B$17+M42*'Pesos finales'!$B$18+N42*'Pesos finales'!$B$19+O42*'Pesos finales'!$B$20+P42*'Pesos finales'!$B$21+Q42*'Pesos finales'!$B$22+R42*'Pesos finales'!$B$23+'Pesos finales'!$B$27</f>
        <v/>
      </c>
      <c r="T42" s="7">
        <f>K42*'Pesos finales'!$C$16+L42*'Pesos finales'!$C$17+M42*'Pesos finales'!$C$18+N42*'Pesos finales'!$C$19+O42*'Pesos finales'!$C$20+P42*'Pesos finales'!$C$21+Q42*'Pesos finales'!$C$22+R42*'Pesos finales'!$C$23+'Pesos finales'!$C$27</f>
        <v/>
      </c>
      <c r="U42" s="7">
        <f>K42*'Pesos finales'!$D$16+L42*'Pesos finales'!$D$17+M42*'Pesos finales'!$D$18+N42*'Pesos finales'!$D$19+O42*'Pesos finales'!$D$20+P42*'Pesos finales'!$D$21+Q42*'Pesos finales'!$D$22+R42*'Pesos finales'!$D$23+'Pesos finales'!$D$27</f>
        <v/>
      </c>
      <c r="V42" s="7">
        <f>EXP(S42)/(EXP(S42)+EXP(T42)+EXP(U42))</f>
        <v/>
      </c>
      <c r="W42" s="7">
        <f>EXP(T42)/(EXP(S42)+EXP(T42)+EXP(U42))</f>
        <v/>
      </c>
      <c r="X42" s="7">
        <f>EXP(U42)/(EXP(S42)+EXP(T42)+EXP(U42))</f>
        <v/>
      </c>
      <c r="Y42">
        <f>IF(AND(V42&gt;=W42,V42&gt;=X42),"Iris-setosa",IF(AND(W42&gt;=X42),"Iris-versicolor","Iris-virginica"))</f>
        <v/>
      </c>
      <c r="Z42" t="inlineStr">
        <is>
          <t>Iris-setosa</t>
        </is>
      </c>
      <c r="AA42">
        <f>IF(Y42=Z42,"Sí","No")</f>
        <v/>
      </c>
      <c r="AB42" s="7" t="n">
        <v>0.9980092804810091</v>
      </c>
      <c r="AC42" s="7" t="n">
        <v>0.001990638544841692</v>
      </c>
      <c r="AD42" s="7" t="n">
        <v>8.097414917986843e-08</v>
      </c>
      <c r="AE42" t="inlineStr">
        <is>
          <t>Iris-setosa</t>
        </is>
      </c>
      <c r="AF42" s="9">
        <f>MAX(ABS(V42-AB42),ABS(W42-AC42),ABS(X42-AD42))</f>
        <v/>
      </c>
      <c r="AG42">
        <f>IF(AND(Y42=AE42,AF42&lt;1E-9),"Sí","No")</f>
        <v/>
      </c>
    </row>
    <row r="43">
      <c r="A43" t="n">
        <v>37</v>
      </c>
      <c r="B43" t="inlineStr">
        <is>
          <t>entrenamiento</t>
        </is>
      </c>
      <c r="C43" t="n">
        <v>5.5</v>
      </c>
      <c r="D43" t="n">
        <v>3.5</v>
      </c>
      <c r="E43" t="n">
        <v>1.3</v>
      </c>
      <c r="F43" t="n">
        <v>0.2</v>
      </c>
      <c r="G43" s="7">
        <f>(C43-'Pesos finales'!$B$31)/'Pesos finales'!$B$32</f>
        <v/>
      </c>
      <c r="H43" s="7">
        <f>(D43-'Pesos finales'!$C$31)/'Pesos finales'!$C$32</f>
        <v/>
      </c>
      <c r="I43" s="7">
        <f>(E43-'Pesos finales'!$D$31)/'Pesos finales'!$D$32</f>
        <v/>
      </c>
      <c r="J43" s="7">
        <f>(F43-'Pesos finales'!$E$31)/'Pesos finales'!$E$32</f>
        <v/>
      </c>
      <c r="K43" s="7">
        <f>TANH(G43*'Pesos finales'!$B$5+H43*'Pesos finales'!$B$6+I43*'Pesos finales'!$B$7+J43*'Pesos finales'!$B$8+'Pesos finales'!$B$12)</f>
        <v/>
      </c>
      <c r="L43" s="7">
        <f>TANH(G43*'Pesos finales'!$C$5+H43*'Pesos finales'!$C$6+I43*'Pesos finales'!$C$7+J43*'Pesos finales'!$C$8+'Pesos finales'!$C$12)</f>
        <v/>
      </c>
      <c r="M43" s="7">
        <f>TANH(G43*'Pesos finales'!$D$5+H43*'Pesos finales'!$D$6+I43*'Pesos finales'!$D$7+J43*'Pesos finales'!$D$8+'Pesos finales'!$D$12)</f>
        <v/>
      </c>
      <c r="N43" s="7">
        <f>TANH(G43*'Pesos finales'!$E$5+H43*'Pesos finales'!$E$6+I43*'Pesos finales'!$E$7+J43*'Pesos finales'!$E$8+'Pesos finales'!$E$12)</f>
        <v/>
      </c>
      <c r="O43" s="7">
        <f>TANH(G43*'Pesos finales'!$F$5+H43*'Pesos finales'!$F$6+I43*'Pesos finales'!$F$7+J43*'Pesos finales'!$F$8+'Pesos finales'!$F$12)</f>
        <v/>
      </c>
      <c r="P43" s="7">
        <f>TANH(G43*'Pesos finales'!$G$5+H43*'Pesos finales'!$G$6+I43*'Pesos finales'!$G$7+J43*'Pesos finales'!$G$8+'Pesos finales'!$G$12)</f>
        <v/>
      </c>
      <c r="Q43" s="7">
        <f>TANH(G43*'Pesos finales'!$H$5+H43*'Pesos finales'!$H$6+I43*'Pesos finales'!$H$7+J43*'Pesos finales'!$H$8+'Pesos finales'!$H$12)</f>
        <v/>
      </c>
      <c r="R43" s="7">
        <f>TANH(G43*'Pesos finales'!$I$5+H43*'Pesos finales'!$I$6+I43*'Pesos finales'!$I$7+J43*'Pesos finales'!$I$8+'Pesos finales'!$I$12)</f>
        <v/>
      </c>
      <c r="S43" s="7">
        <f>K43*'Pesos finales'!$B$16+L43*'Pesos finales'!$B$17+M43*'Pesos finales'!$B$18+N43*'Pesos finales'!$B$19+O43*'Pesos finales'!$B$20+P43*'Pesos finales'!$B$21+Q43*'Pesos finales'!$B$22+R43*'Pesos finales'!$B$23+'Pesos finales'!$B$27</f>
        <v/>
      </c>
      <c r="T43" s="7">
        <f>K43*'Pesos finales'!$C$16+L43*'Pesos finales'!$C$17+M43*'Pesos finales'!$C$18+N43*'Pesos finales'!$C$19+O43*'Pesos finales'!$C$20+P43*'Pesos finales'!$C$21+Q43*'Pesos finales'!$C$22+R43*'Pesos finales'!$C$23+'Pesos finales'!$C$27</f>
        <v/>
      </c>
      <c r="U43" s="7">
        <f>K43*'Pesos finales'!$D$16+L43*'Pesos finales'!$D$17+M43*'Pesos finales'!$D$18+N43*'Pesos finales'!$D$19+O43*'Pesos finales'!$D$20+P43*'Pesos finales'!$D$21+Q43*'Pesos finales'!$D$22+R43*'Pesos finales'!$D$23+'Pesos finales'!$D$27</f>
        <v/>
      </c>
      <c r="V43" s="7">
        <f>EXP(S43)/(EXP(S43)+EXP(T43)+EXP(U43))</f>
        <v/>
      </c>
      <c r="W43" s="7">
        <f>EXP(T43)/(EXP(S43)+EXP(T43)+EXP(U43))</f>
        <v/>
      </c>
      <c r="X43" s="7">
        <f>EXP(U43)/(EXP(S43)+EXP(T43)+EXP(U43))</f>
        <v/>
      </c>
      <c r="Y43">
        <f>IF(AND(V43&gt;=W43,V43&gt;=X43),"Iris-setosa",IF(AND(W43&gt;=X43),"Iris-versicolor","Iris-virginica"))</f>
        <v/>
      </c>
      <c r="Z43" t="inlineStr">
        <is>
          <t>Iris-setosa</t>
        </is>
      </c>
      <c r="AA43">
        <f>IF(Y43=Z43,"Sí","No")</f>
        <v/>
      </c>
      <c r="AB43" s="7" t="n">
        <v>0.9981010532826132</v>
      </c>
      <c r="AC43" s="7" t="n">
        <v>0.001898870409179712</v>
      </c>
      <c r="AD43" s="7" t="n">
        <v>7.630820723566904e-08</v>
      </c>
      <c r="AE43" t="inlineStr">
        <is>
          <t>Iris-setosa</t>
        </is>
      </c>
      <c r="AF43" s="9">
        <f>MAX(ABS(V43-AB43),ABS(W43-AC43),ABS(X43-AD43))</f>
        <v/>
      </c>
      <c r="AG43">
        <f>IF(AND(Y43=AE43,AF43&lt;1E-9),"Sí","No")</f>
        <v/>
      </c>
    </row>
    <row r="44">
      <c r="A44" t="n">
        <v>38</v>
      </c>
      <c r="B44" t="inlineStr">
        <is>
          <t>entrenamiento</t>
        </is>
      </c>
      <c r="C44" t="n">
        <v>4.9</v>
      </c>
      <c r="D44" t="n">
        <v>3.1</v>
      </c>
      <c r="E44" t="n">
        <v>1.5</v>
      </c>
      <c r="F44" t="n">
        <v>0.1</v>
      </c>
      <c r="G44" s="7">
        <f>(C44-'Pesos finales'!$B$31)/'Pesos finales'!$B$32</f>
        <v/>
      </c>
      <c r="H44" s="7">
        <f>(D44-'Pesos finales'!$C$31)/'Pesos finales'!$C$32</f>
        <v/>
      </c>
      <c r="I44" s="7">
        <f>(E44-'Pesos finales'!$D$31)/'Pesos finales'!$D$32</f>
        <v/>
      </c>
      <c r="J44" s="7">
        <f>(F44-'Pesos finales'!$E$31)/'Pesos finales'!$E$32</f>
        <v/>
      </c>
      <c r="K44" s="7">
        <f>TANH(G44*'Pesos finales'!$B$5+H44*'Pesos finales'!$B$6+I44*'Pesos finales'!$B$7+J44*'Pesos finales'!$B$8+'Pesos finales'!$B$12)</f>
        <v/>
      </c>
      <c r="L44" s="7">
        <f>TANH(G44*'Pesos finales'!$C$5+H44*'Pesos finales'!$C$6+I44*'Pesos finales'!$C$7+J44*'Pesos finales'!$C$8+'Pesos finales'!$C$12)</f>
        <v/>
      </c>
      <c r="M44" s="7">
        <f>TANH(G44*'Pesos finales'!$D$5+H44*'Pesos finales'!$D$6+I44*'Pesos finales'!$D$7+J44*'Pesos finales'!$D$8+'Pesos finales'!$D$12)</f>
        <v/>
      </c>
      <c r="N44" s="7">
        <f>TANH(G44*'Pesos finales'!$E$5+H44*'Pesos finales'!$E$6+I44*'Pesos finales'!$E$7+J44*'Pesos finales'!$E$8+'Pesos finales'!$E$12)</f>
        <v/>
      </c>
      <c r="O44" s="7">
        <f>TANH(G44*'Pesos finales'!$F$5+H44*'Pesos finales'!$F$6+I44*'Pesos finales'!$F$7+J44*'Pesos finales'!$F$8+'Pesos finales'!$F$12)</f>
        <v/>
      </c>
      <c r="P44" s="7">
        <f>TANH(G44*'Pesos finales'!$G$5+H44*'Pesos finales'!$G$6+I44*'Pesos finales'!$G$7+J44*'Pesos finales'!$G$8+'Pesos finales'!$G$12)</f>
        <v/>
      </c>
      <c r="Q44" s="7">
        <f>TANH(G44*'Pesos finales'!$H$5+H44*'Pesos finales'!$H$6+I44*'Pesos finales'!$H$7+J44*'Pesos finales'!$H$8+'Pesos finales'!$H$12)</f>
        <v/>
      </c>
      <c r="R44" s="7">
        <f>TANH(G44*'Pesos finales'!$I$5+H44*'Pesos finales'!$I$6+I44*'Pesos finales'!$I$7+J44*'Pesos finales'!$I$8+'Pesos finales'!$I$12)</f>
        <v/>
      </c>
      <c r="S44" s="7">
        <f>K44*'Pesos finales'!$B$16+L44*'Pesos finales'!$B$17+M44*'Pesos finales'!$B$18+N44*'Pesos finales'!$B$19+O44*'Pesos finales'!$B$20+P44*'Pesos finales'!$B$21+Q44*'Pesos finales'!$B$22+R44*'Pesos finales'!$B$23+'Pesos finales'!$B$27</f>
        <v/>
      </c>
      <c r="T44" s="7">
        <f>K44*'Pesos finales'!$C$16+L44*'Pesos finales'!$C$17+M44*'Pesos finales'!$C$18+N44*'Pesos finales'!$C$19+O44*'Pesos finales'!$C$20+P44*'Pesos finales'!$C$21+Q44*'Pesos finales'!$C$22+R44*'Pesos finales'!$C$23+'Pesos finales'!$C$27</f>
        <v/>
      </c>
      <c r="U44" s="7">
        <f>K44*'Pesos finales'!$D$16+L44*'Pesos finales'!$D$17+M44*'Pesos finales'!$D$18+N44*'Pesos finales'!$D$19+O44*'Pesos finales'!$D$20+P44*'Pesos finales'!$D$21+Q44*'Pesos finales'!$D$22+R44*'Pesos finales'!$D$23+'Pesos finales'!$D$27</f>
        <v/>
      </c>
      <c r="V44" s="7">
        <f>EXP(S44)/(EXP(S44)+EXP(T44)+EXP(U44))</f>
        <v/>
      </c>
      <c r="W44" s="7">
        <f>EXP(T44)/(EXP(S44)+EXP(T44)+EXP(U44))</f>
        <v/>
      </c>
      <c r="X44" s="7">
        <f>EXP(U44)/(EXP(S44)+EXP(T44)+EXP(U44))</f>
        <v/>
      </c>
      <c r="Y44">
        <f>IF(AND(V44&gt;=W44,V44&gt;=X44),"Iris-setosa",IF(AND(W44&gt;=X44),"Iris-versicolor","Iris-virginica"))</f>
        <v/>
      </c>
      <c r="Z44" t="inlineStr">
        <is>
          <t>Iris-setosa</t>
        </is>
      </c>
      <c r="AA44">
        <f>IF(Y44=Z44,"Sí","No")</f>
        <v/>
      </c>
      <c r="AB44" s="7" t="n">
        <v>0.9978366774165695</v>
      </c>
      <c r="AC44" s="7" t="n">
        <v>0.002163235861435314</v>
      </c>
      <c r="AD44" s="7" t="n">
        <v>8.672199527759374e-08</v>
      </c>
      <c r="AE44" t="inlineStr">
        <is>
          <t>Iris-setosa</t>
        </is>
      </c>
      <c r="AF44" s="9">
        <f>MAX(ABS(V44-AB44),ABS(W44-AC44),ABS(X44-AD44))</f>
        <v/>
      </c>
      <c r="AG44">
        <f>IF(AND(Y44=AE44,AF44&lt;1E-9),"Sí","No")</f>
        <v/>
      </c>
    </row>
    <row r="45">
      <c r="A45" t="n">
        <v>39</v>
      </c>
      <c r="B45" t="inlineStr">
        <is>
          <t>entrenamiento</t>
        </is>
      </c>
      <c r="C45" t="n">
        <v>4.4</v>
      </c>
      <c r="D45" t="n">
        <v>3</v>
      </c>
      <c r="E45" t="n">
        <v>1.3</v>
      </c>
      <c r="F45" t="n">
        <v>0.2</v>
      </c>
      <c r="G45" s="7">
        <f>(C45-'Pesos finales'!$B$31)/'Pesos finales'!$B$32</f>
        <v/>
      </c>
      <c r="H45" s="7">
        <f>(D45-'Pesos finales'!$C$31)/'Pesos finales'!$C$32</f>
        <v/>
      </c>
      <c r="I45" s="7">
        <f>(E45-'Pesos finales'!$D$31)/'Pesos finales'!$D$32</f>
        <v/>
      </c>
      <c r="J45" s="7">
        <f>(F45-'Pesos finales'!$E$31)/'Pesos finales'!$E$32</f>
        <v/>
      </c>
      <c r="K45" s="7">
        <f>TANH(G45*'Pesos finales'!$B$5+H45*'Pesos finales'!$B$6+I45*'Pesos finales'!$B$7+J45*'Pesos finales'!$B$8+'Pesos finales'!$B$12)</f>
        <v/>
      </c>
      <c r="L45" s="7">
        <f>TANH(G45*'Pesos finales'!$C$5+H45*'Pesos finales'!$C$6+I45*'Pesos finales'!$C$7+J45*'Pesos finales'!$C$8+'Pesos finales'!$C$12)</f>
        <v/>
      </c>
      <c r="M45" s="7">
        <f>TANH(G45*'Pesos finales'!$D$5+H45*'Pesos finales'!$D$6+I45*'Pesos finales'!$D$7+J45*'Pesos finales'!$D$8+'Pesos finales'!$D$12)</f>
        <v/>
      </c>
      <c r="N45" s="7">
        <f>TANH(G45*'Pesos finales'!$E$5+H45*'Pesos finales'!$E$6+I45*'Pesos finales'!$E$7+J45*'Pesos finales'!$E$8+'Pesos finales'!$E$12)</f>
        <v/>
      </c>
      <c r="O45" s="7">
        <f>TANH(G45*'Pesos finales'!$F$5+H45*'Pesos finales'!$F$6+I45*'Pesos finales'!$F$7+J45*'Pesos finales'!$F$8+'Pesos finales'!$F$12)</f>
        <v/>
      </c>
      <c r="P45" s="7">
        <f>TANH(G45*'Pesos finales'!$G$5+H45*'Pesos finales'!$G$6+I45*'Pesos finales'!$G$7+J45*'Pesos finales'!$G$8+'Pesos finales'!$G$12)</f>
        <v/>
      </c>
      <c r="Q45" s="7">
        <f>TANH(G45*'Pesos finales'!$H$5+H45*'Pesos finales'!$H$6+I45*'Pesos finales'!$H$7+J45*'Pesos finales'!$H$8+'Pesos finales'!$H$12)</f>
        <v/>
      </c>
      <c r="R45" s="7">
        <f>TANH(G45*'Pesos finales'!$I$5+H45*'Pesos finales'!$I$6+I45*'Pesos finales'!$I$7+J45*'Pesos finales'!$I$8+'Pesos finales'!$I$12)</f>
        <v/>
      </c>
      <c r="S45" s="7">
        <f>K45*'Pesos finales'!$B$16+L45*'Pesos finales'!$B$17+M45*'Pesos finales'!$B$18+N45*'Pesos finales'!$B$19+O45*'Pesos finales'!$B$20+P45*'Pesos finales'!$B$21+Q45*'Pesos finales'!$B$22+R45*'Pesos finales'!$B$23+'Pesos finales'!$B$27</f>
        <v/>
      </c>
      <c r="T45" s="7">
        <f>K45*'Pesos finales'!$C$16+L45*'Pesos finales'!$C$17+M45*'Pesos finales'!$C$18+N45*'Pesos finales'!$C$19+O45*'Pesos finales'!$C$20+P45*'Pesos finales'!$C$21+Q45*'Pesos finales'!$C$22+R45*'Pesos finales'!$C$23+'Pesos finales'!$C$27</f>
        <v/>
      </c>
      <c r="U45" s="7">
        <f>K45*'Pesos finales'!$D$16+L45*'Pesos finales'!$D$17+M45*'Pesos finales'!$D$18+N45*'Pesos finales'!$D$19+O45*'Pesos finales'!$D$20+P45*'Pesos finales'!$D$21+Q45*'Pesos finales'!$D$22+R45*'Pesos finales'!$D$23+'Pesos finales'!$D$27</f>
        <v/>
      </c>
      <c r="V45" s="7">
        <f>EXP(S45)/(EXP(S45)+EXP(T45)+EXP(U45))</f>
        <v/>
      </c>
      <c r="W45" s="7">
        <f>EXP(T45)/(EXP(S45)+EXP(T45)+EXP(U45))</f>
        <v/>
      </c>
      <c r="X45" s="7">
        <f>EXP(U45)/(EXP(S45)+EXP(T45)+EXP(U45))</f>
        <v/>
      </c>
      <c r="Y45">
        <f>IF(AND(V45&gt;=W45,V45&gt;=X45),"Iris-setosa",IF(AND(W45&gt;=X45),"Iris-versicolor","Iris-virginica"))</f>
        <v/>
      </c>
      <c r="Z45" t="inlineStr">
        <is>
          <t>Iris-setosa</t>
        </is>
      </c>
      <c r="AA45">
        <f>IF(Y45=Z45,"Sí","No")</f>
        <v/>
      </c>
      <c r="AB45" s="7" t="n">
        <v>0.9979756169210269</v>
      </c>
      <c r="AC45" s="7" t="n">
        <v>0.00202429647856445</v>
      </c>
      <c r="AD45" s="7" t="n">
        <v>8.660040878580001e-08</v>
      </c>
      <c r="AE45" t="inlineStr">
        <is>
          <t>Iris-setosa</t>
        </is>
      </c>
      <c r="AF45" s="9">
        <f>MAX(ABS(V45-AB45),ABS(W45-AC45),ABS(X45-AD45))</f>
        <v/>
      </c>
      <c r="AG45">
        <f>IF(AND(Y45=AE45,AF45&lt;1E-9),"Sí","No")</f>
        <v/>
      </c>
    </row>
    <row r="46">
      <c r="A46" t="n">
        <v>40</v>
      </c>
      <c r="B46" t="inlineStr">
        <is>
          <t>prueba</t>
        </is>
      </c>
      <c r="C46" t="n">
        <v>5.1</v>
      </c>
      <c r="D46" t="n">
        <v>3.4</v>
      </c>
      <c r="E46" t="n">
        <v>1.5</v>
      </c>
      <c r="F46" t="n">
        <v>0.2</v>
      </c>
      <c r="G46" s="7">
        <f>(C46-'Pesos finales'!$B$31)/'Pesos finales'!$B$32</f>
        <v/>
      </c>
      <c r="H46" s="7">
        <f>(D46-'Pesos finales'!$C$31)/'Pesos finales'!$C$32</f>
        <v/>
      </c>
      <c r="I46" s="7">
        <f>(E46-'Pesos finales'!$D$31)/'Pesos finales'!$D$32</f>
        <v/>
      </c>
      <c r="J46" s="7">
        <f>(F46-'Pesos finales'!$E$31)/'Pesos finales'!$E$32</f>
        <v/>
      </c>
      <c r="K46" s="7">
        <f>TANH(G46*'Pesos finales'!$B$5+H46*'Pesos finales'!$B$6+I46*'Pesos finales'!$B$7+J46*'Pesos finales'!$B$8+'Pesos finales'!$B$12)</f>
        <v/>
      </c>
      <c r="L46" s="7">
        <f>TANH(G46*'Pesos finales'!$C$5+H46*'Pesos finales'!$C$6+I46*'Pesos finales'!$C$7+J46*'Pesos finales'!$C$8+'Pesos finales'!$C$12)</f>
        <v/>
      </c>
      <c r="M46" s="7">
        <f>TANH(G46*'Pesos finales'!$D$5+H46*'Pesos finales'!$D$6+I46*'Pesos finales'!$D$7+J46*'Pesos finales'!$D$8+'Pesos finales'!$D$12)</f>
        <v/>
      </c>
      <c r="N46" s="7">
        <f>TANH(G46*'Pesos finales'!$E$5+H46*'Pesos finales'!$E$6+I46*'Pesos finales'!$E$7+J46*'Pesos finales'!$E$8+'Pesos finales'!$E$12)</f>
        <v/>
      </c>
      <c r="O46" s="7">
        <f>TANH(G46*'Pesos finales'!$F$5+H46*'Pesos finales'!$F$6+I46*'Pesos finales'!$F$7+J46*'Pesos finales'!$F$8+'Pesos finales'!$F$12)</f>
        <v/>
      </c>
      <c r="P46" s="7">
        <f>TANH(G46*'Pesos finales'!$G$5+H46*'Pesos finales'!$G$6+I46*'Pesos finales'!$G$7+J46*'Pesos finales'!$G$8+'Pesos finales'!$G$12)</f>
        <v/>
      </c>
      <c r="Q46" s="7">
        <f>TANH(G46*'Pesos finales'!$H$5+H46*'Pesos finales'!$H$6+I46*'Pesos finales'!$H$7+J46*'Pesos finales'!$H$8+'Pesos finales'!$H$12)</f>
        <v/>
      </c>
      <c r="R46" s="7">
        <f>TANH(G46*'Pesos finales'!$I$5+H46*'Pesos finales'!$I$6+I46*'Pesos finales'!$I$7+J46*'Pesos finales'!$I$8+'Pesos finales'!$I$12)</f>
        <v/>
      </c>
      <c r="S46" s="7">
        <f>K46*'Pesos finales'!$B$16+L46*'Pesos finales'!$B$17+M46*'Pesos finales'!$B$18+N46*'Pesos finales'!$B$19+O46*'Pesos finales'!$B$20+P46*'Pesos finales'!$B$21+Q46*'Pesos finales'!$B$22+R46*'Pesos finales'!$B$23+'Pesos finales'!$B$27</f>
        <v/>
      </c>
      <c r="T46" s="7">
        <f>K46*'Pesos finales'!$C$16+L46*'Pesos finales'!$C$17+M46*'Pesos finales'!$C$18+N46*'Pesos finales'!$C$19+O46*'Pesos finales'!$C$20+P46*'Pesos finales'!$C$21+Q46*'Pesos finales'!$C$22+R46*'Pesos finales'!$C$23+'Pesos finales'!$C$27</f>
        <v/>
      </c>
      <c r="U46" s="7">
        <f>K46*'Pesos finales'!$D$16+L46*'Pesos finales'!$D$17+M46*'Pesos finales'!$D$18+N46*'Pesos finales'!$D$19+O46*'Pesos finales'!$D$20+P46*'Pesos finales'!$D$21+Q46*'Pesos finales'!$D$22+R46*'Pesos finales'!$D$23+'Pesos finales'!$D$27</f>
        <v/>
      </c>
      <c r="V46" s="7">
        <f>EXP(S46)/(EXP(S46)+EXP(T46)+EXP(U46))</f>
        <v/>
      </c>
      <c r="W46" s="7">
        <f>EXP(T46)/(EXP(S46)+EXP(T46)+EXP(U46))</f>
        <v/>
      </c>
      <c r="X46" s="7">
        <f>EXP(U46)/(EXP(S46)+EXP(T46)+EXP(U46))</f>
        <v/>
      </c>
      <c r="Y46">
        <f>IF(AND(V46&gt;=W46,V46&gt;=X46),"Iris-setosa",IF(AND(W46&gt;=X46),"Iris-versicolor","Iris-virginica"))</f>
        <v/>
      </c>
      <c r="Z46" t="inlineStr">
        <is>
          <t>Iris-setosa</t>
        </is>
      </c>
      <c r="AA46">
        <f>IF(Y46=Z46,"Sí","No")</f>
        <v/>
      </c>
      <c r="AB46" s="7" t="n">
        <v>0.998075083903434</v>
      </c>
      <c r="AC46" s="7" t="n">
        <v>0.001924836301836003</v>
      </c>
      <c r="AD46" s="7" t="n">
        <v>7.979472990651307e-08</v>
      </c>
      <c r="AE46" t="inlineStr">
        <is>
          <t>Iris-setosa</t>
        </is>
      </c>
      <c r="AF46" s="9">
        <f>MAX(ABS(V46-AB46),ABS(W46-AC46),ABS(X46-AD46))</f>
        <v/>
      </c>
      <c r="AG46">
        <f>IF(AND(Y46=AE46,AF46&lt;1E-9),"Sí","No")</f>
        <v/>
      </c>
    </row>
    <row r="47">
      <c r="A47" t="n">
        <v>41</v>
      </c>
      <c r="B47" t="inlineStr">
        <is>
          <t>entrenamiento</t>
        </is>
      </c>
      <c r="C47" t="n">
        <v>5</v>
      </c>
      <c r="D47" t="n">
        <v>3.5</v>
      </c>
      <c r="E47" t="n">
        <v>1.3</v>
      </c>
      <c r="F47" t="n">
        <v>0.3</v>
      </c>
      <c r="G47" s="7">
        <f>(C47-'Pesos finales'!$B$31)/'Pesos finales'!$B$32</f>
        <v/>
      </c>
      <c r="H47" s="7">
        <f>(D47-'Pesos finales'!$C$31)/'Pesos finales'!$C$32</f>
        <v/>
      </c>
      <c r="I47" s="7">
        <f>(E47-'Pesos finales'!$D$31)/'Pesos finales'!$D$32</f>
        <v/>
      </c>
      <c r="J47" s="7">
        <f>(F47-'Pesos finales'!$E$31)/'Pesos finales'!$E$32</f>
        <v/>
      </c>
      <c r="K47" s="7">
        <f>TANH(G47*'Pesos finales'!$B$5+H47*'Pesos finales'!$B$6+I47*'Pesos finales'!$B$7+J47*'Pesos finales'!$B$8+'Pesos finales'!$B$12)</f>
        <v/>
      </c>
      <c r="L47" s="7">
        <f>TANH(G47*'Pesos finales'!$C$5+H47*'Pesos finales'!$C$6+I47*'Pesos finales'!$C$7+J47*'Pesos finales'!$C$8+'Pesos finales'!$C$12)</f>
        <v/>
      </c>
      <c r="M47" s="7">
        <f>TANH(G47*'Pesos finales'!$D$5+H47*'Pesos finales'!$D$6+I47*'Pesos finales'!$D$7+J47*'Pesos finales'!$D$8+'Pesos finales'!$D$12)</f>
        <v/>
      </c>
      <c r="N47" s="7">
        <f>TANH(G47*'Pesos finales'!$E$5+H47*'Pesos finales'!$E$6+I47*'Pesos finales'!$E$7+J47*'Pesos finales'!$E$8+'Pesos finales'!$E$12)</f>
        <v/>
      </c>
      <c r="O47" s="7">
        <f>TANH(G47*'Pesos finales'!$F$5+H47*'Pesos finales'!$F$6+I47*'Pesos finales'!$F$7+J47*'Pesos finales'!$F$8+'Pesos finales'!$F$12)</f>
        <v/>
      </c>
      <c r="P47" s="7">
        <f>TANH(G47*'Pesos finales'!$G$5+H47*'Pesos finales'!$G$6+I47*'Pesos finales'!$G$7+J47*'Pesos finales'!$G$8+'Pesos finales'!$G$12)</f>
        <v/>
      </c>
      <c r="Q47" s="7">
        <f>TANH(G47*'Pesos finales'!$H$5+H47*'Pesos finales'!$H$6+I47*'Pesos finales'!$H$7+J47*'Pesos finales'!$H$8+'Pesos finales'!$H$12)</f>
        <v/>
      </c>
      <c r="R47" s="7">
        <f>TANH(G47*'Pesos finales'!$I$5+H47*'Pesos finales'!$I$6+I47*'Pesos finales'!$I$7+J47*'Pesos finales'!$I$8+'Pesos finales'!$I$12)</f>
        <v/>
      </c>
      <c r="S47" s="7">
        <f>K47*'Pesos finales'!$B$16+L47*'Pesos finales'!$B$17+M47*'Pesos finales'!$B$18+N47*'Pesos finales'!$B$19+O47*'Pesos finales'!$B$20+P47*'Pesos finales'!$B$21+Q47*'Pesos finales'!$B$22+R47*'Pesos finales'!$B$23+'Pesos finales'!$B$27</f>
        <v/>
      </c>
      <c r="T47" s="7">
        <f>K47*'Pesos finales'!$C$16+L47*'Pesos finales'!$C$17+M47*'Pesos finales'!$C$18+N47*'Pesos finales'!$C$19+O47*'Pesos finales'!$C$20+P47*'Pesos finales'!$C$21+Q47*'Pesos finales'!$C$22+R47*'Pesos finales'!$C$23+'Pesos finales'!$C$27</f>
        <v/>
      </c>
      <c r="U47" s="7">
        <f>K47*'Pesos finales'!$D$16+L47*'Pesos finales'!$D$17+M47*'Pesos finales'!$D$18+N47*'Pesos finales'!$D$19+O47*'Pesos finales'!$D$20+P47*'Pesos finales'!$D$21+Q47*'Pesos finales'!$D$22+R47*'Pesos finales'!$D$23+'Pesos finales'!$D$27</f>
        <v/>
      </c>
      <c r="V47" s="7">
        <f>EXP(S47)/(EXP(S47)+EXP(T47)+EXP(U47))</f>
        <v/>
      </c>
      <c r="W47" s="7">
        <f>EXP(T47)/(EXP(S47)+EXP(T47)+EXP(U47))</f>
        <v/>
      </c>
      <c r="X47" s="7">
        <f>EXP(U47)/(EXP(S47)+EXP(T47)+EXP(U47))</f>
        <v/>
      </c>
      <c r="Y47">
        <f>IF(AND(V47&gt;=W47,V47&gt;=X47),"Iris-setosa",IF(AND(W47&gt;=X47),"Iris-versicolor","Iris-virginica"))</f>
        <v/>
      </c>
      <c r="Z47" t="inlineStr">
        <is>
          <t>Iris-setosa</t>
        </is>
      </c>
      <c r="AA47">
        <f>IF(Y47=Z47,"Sí","No")</f>
        <v/>
      </c>
      <c r="AB47" s="7" t="n">
        <v>0.9982091249871059</v>
      </c>
      <c r="AC47" s="7" t="n">
        <v>0.001790797871293312</v>
      </c>
      <c r="AD47" s="7" t="n">
        <v>7.714160075935444e-08</v>
      </c>
      <c r="AE47" t="inlineStr">
        <is>
          <t>Iris-setosa</t>
        </is>
      </c>
      <c r="AF47" s="9">
        <f>MAX(ABS(V47-AB47),ABS(W47-AC47),ABS(X47-AD47))</f>
        <v/>
      </c>
      <c r="AG47">
        <f>IF(AND(Y47=AE47,AF47&lt;1E-9),"Sí","No")</f>
        <v/>
      </c>
    </row>
    <row r="48">
      <c r="A48" t="n">
        <v>42</v>
      </c>
      <c r="B48" t="inlineStr">
        <is>
          <t>entrenamiento</t>
        </is>
      </c>
      <c r="C48" t="n">
        <v>4.5</v>
      </c>
      <c r="D48" t="n">
        <v>2.3</v>
      </c>
      <c r="E48" t="n">
        <v>1.3</v>
      </c>
      <c r="F48" t="n">
        <v>0.3</v>
      </c>
      <c r="G48" s="7">
        <f>(C48-'Pesos finales'!$B$31)/'Pesos finales'!$B$32</f>
        <v/>
      </c>
      <c r="H48" s="7">
        <f>(D48-'Pesos finales'!$C$31)/'Pesos finales'!$C$32</f>
        <v/>
      </c>
      <c r="I48" s="7">
        <f>(E48-'Pesos finales'!$D$31)/'Pesos finales'!$D$32</f>
        <v/>
      </c>
      <c r="J48" s="7">
        <f>(F48-'Pesos finales'!$E$31)/'Pesos finales'!$E$32</f>
        <v/>
      </c>
      <c r="K48" s="7">
        <f>TANH(G48*'Pesos finales'!$B$5+H48*'Pesos finales'!$B$6+I48*'Pesos finales'!$B$7+J48*'Pesos finales'!$B$8+'Pesos finales'!$B$12)</f>
        <v/>
      </c>
      <c r="L48" s="7">
        <f>TANH(G48*'Pesos finales'!$C$5+H48*'Pesos finales'!$C$6+I48*'Pesos finales'!$C$7+J48*'Pesos finales'!$C$8+'Pesos finales'!$C$12)</f>
        <v/>
      </c>
      <c r="M48" s="7">
        <f>TANH(G48*'Pesos finales'!$D$5+H48*'Pesos finales'!$D$6+I48*'Pesos finales'!$D$7+J48*'Pesos finales'!$D$8+'Pesos finales'!$D$12)</f>
        <v/>
      </c>
      <c r="N48" s="7">
        <f>TANH(G48*'Pesos finales'!$E$5+H48*'Pesos finales'!$E$6+I48*'Pesos finales'!$E$7+J48*'Pesos finales'!$E$8+'Pesos finales'!$E$12)</f>
        <v/>
      </c>
      <c r="O48" s="7">
        <f>TANH(G48*'Pesos finales'!$F$5+H48*'Pesos finales'!$F$6+I48*'Pesos finales'!$F$7+J48*'Pesos finales'!$F$8+'Pesos finales'!$F$12)</f>
        <v/>
      </c>
      <c r="P48" s="7">
        <f>TANH(G48*'Pesos finales'!$G$5+H48*'Pesos finales'!$G$6+I48*'Pesos finales'!$G$7+J48*'Pesos finales'!$G$8+'Pesos finales'!$G$12)</f>
        <v/>
      </c>
      <c r="Q48" s="7">
        <f>TANH(G48*'Pesos finales'!$H$5+H48*'Pesos finales'!$H$6+I48*'Pesos finales'!$H$7+J48*'Pesos finales'!$H$8+'Pesos finales'!$H$12)</f>
        <v/>
      </c>
      <c r="R48" s="7">
        <f>TANH(G48*'Pesos finales'!$I$5+H48*'Pesos finales'!$I$6+I48*'Pesos finales'!$I$7+J48*'Pesos finales'!$I$8+'Pesos finales'!$I$12)</f>
        <v/>
      </c>
      <c r="S48" s="7">
        <f>K48*'Pesos finales'!$B$16+L48*'Pesos finales'!$B$17+M48*'Pesos finales'!$B$18+N48*'Pesos finales'!$B$19+O48*'Pesos finales'!$B$20+P48*'Pesos finales'!$B$21+Q48*'Pesos finales'!$B$22+R48*'Pesos finales'!$B$23+'Pesos finales'!$B$27</f>
        <v/>
      </c>
      <c r="T48" s="7">
        <f>K48*'Pesos finales'!$C$16+L48*'Pesos finales'!$C$17+M48*'Pesos finales'!$C$18+N48*'Pesos finales'!$C$19+O48*'Pesos finales'!$C$20+P48*'Pesos finales'!$C$21+Q48*'Pesos finales'!$C$22+R48*'Pesos finales'!$C$23+'Pesos finales'!$C$27</f>
        <v/>
      </c>
      <c r="U48" s="7">
        <f>K48*'Pesos finales'!$D$16+L48*'Pesos finales'!$D$17+M48*'Pesos finales'!$D$18+N48*'Pesos finales'!$D$19+O48*'Pesos finales'!$D$20+P48*'Pesos finales'!$D$21+Q48*'Pesos finales'!$D$22+R48*'Pesos finales'!$D$23+'Pesos finales'!$D$27</f>
        <v/>
      </c>
      <c r="V48" s="7">
        <f>EXP(S48)/(EXP(S48)+EXP(T48)+EXP(U48))</f>
        <v/>
      </c>
      <c r="W48" s="7">
        <f>EXP(T48)/(EXP(S48)+EXP(T48)+EXP(U48))</f>
        <v/>
      </c>
      <c r="X48" s="7">
        <f>EXP(U48)/(EXP(S48)+EXP(T48)+EXP(U48))</f>
        <v/>
      </c>
      <c r="Y48">
        <f>IF(AND(V48&gt;=W48,V48&gt;=X48),"Iris-setosa",IF(AND(W48&gt;=X48),"Iris-versicolor","Iris-virginica"))</f>
        <v/>
      </c>
      <c r="Z48" t="inlineStr">
        <is>
          <t>Iris-setosa</t>
        </is>
      </c>
      <c r="AA48">
        <f>IF(Y48=Z48,"Sí","No")</f>
        <v/>
      </c>
      <c r="AB48" s="7" t="n">
        <v>0.987562584938206</v>
      </c>
      <c r="AC48" s="7" t="n">
        <v>0.01243701968510908</v>
      </c>
      <c r="AD48" s="7" t="n">
        <v>3.953766848481029e-07</v>
      </c>
      <c r="AE48" t="inlineStr">
        <is>
          <t>Iris-setosa</t>
        </is>
      </c>
      <c r="AF48" s="9">
        <f>MAX(ABS(V48-AB48),ABS(W48-AC48),ABS(X48-AD48))</f>
        <v/>
      </c>
      <c r="AG48">
        <f>IF(AND(Y48=AE48,AF48&lt;1E-9),"Sí","No")</f>
        <v/>
      </c>
    </row>
    <row r="49">
      <c r="A49" t="n">
        <v>43</v>
      </c>
      <c r="B49" t="inlineStr">
        <is>
          <t>entrenamiento</t>
        </is>
      </c>
      <c r="C49" t="n">
        <v>4.4</v>
      </c>
      <c r="D49" t="n">
        <v>3.2</v>
      </c>
      <c r="E49" t="n">
        <v>1.3</v>
      </c>
      <c r="F49" t="n">
        <v>0.2</v>
      </c>
      <c r="G49" s="7">
        <f>(C49-'Pesos finales'!$B$31)/'Pesos finales'!$B$32</f>
        <v/>
      </c>
      <c r="H49" s="7">
        <f>(D49-'Pesos finales'!$C$31)/'Pesos finales'!$C$32</f>
        <v/>
      </c>
      <c r="I49" s="7">
        <f>(E49-'Pesos finales'!$D$31)/'Pesos finales'!$D$32</f>
        <v/>
      </c>
      <c r="J49" s="7">
        <f>(F49-'Pesos finales'!$E$31)/'Pesos finales'!$E$32</f>
        <v/>
      </c>
      <c r="K49" s="7">
        <f>TANH(G49*'Pesos finales'!$B$5+H49*'Pesos finales'!$B$6+I49*'Pesos finales'!$B$7+J49*'Pesos finales'!$B$8+'Pesos finales'!$B$12)</f>
        <v/>
      </c>
      <c r="L49" s="7">
        <f>TANH(G49*'Pesos finales'!$C$5+H49*'Pesos finales'!$C$6+I49*'Pesos finales'!$C$7+J49*'Pesos finales'!$C$8+'Pesos finales'!$C$12)</f>
        <v/>
      </c>
      <c r="M49" s="7">
        <f>TANH(G49*'Pesos finales'!$D$5+H49*'Pesos finales'!$D$6+I49*'Pesos finales'!$D$7+J49*'Pesos finales'!$D$8+'Pesos finales'!$D$12)</f>
        <v/>
      </c>
      <c r="N49" s="7">
        <f>TANH(G49*'Pesos finales'!$E$5+H49*'Pesos finales'!$E$6+I49*'Pesos finales'!$E$7+J49*'Pesos finales'!$E$8+'Pesos finales'!$E$12)</f>
        <v/>
      </c>
      <c r="O49" s="7">
        <f>TANH(G49*'Pesos finales'!$F$5+H49*'Pesos finales'!$F$6+I49*'Pesos finales'!$F$7+J49*'Pesos finales'!$F$8+'Pesos finales'!$F$12)</f>
        <v/>
      </c>
      <c r="P49" s="7">
        <f>TANH(G49*'Pesos finales'!$G$5+H49*'Pesos finales'!$G$6+I49*'Pesos finales'!$G$7+J49*'Pesos finales'!$G$8+'Pesos finales'!$G$12)</f>
        <v/>
      </c>
      <c r="Q49" s="7">
        <f>TANH(G49*'Pesos finales'!$H$5+H49*'Pesos finales'!$H$6+I49*'Pesos finales'!$H$7+J49*'Pesos finales'!$H$8+'Pesos finales'!$H$12)</f>
        <v/>
      </c>
      <c r="R49" s="7">
        <f>TANH(G49*'Pesos finales'!$I$5+H49*'Pesos finales'!$I$6+I49*'Pesos finales'!$I$7+J49*'Pesos finales'!$I$8+'Pesos finales'!$I$12)</f>
        <v/>
      </c>
      <c r="S49" s="7">
        <f>K49*'Pesos finales'!$B$16+L49*'Pesos finales'!$B$17+M49*'Pesos finales'!$B$18+N49*'Pesos finales'!$B$19+O49*'Pesos finales'!$B$20+P49*'Pesos finales'!$B$21+Q49*'Pesos finales'!$B$22+R49*'Pesos finales'!$B$23+'Pesos finales'!$B$27</f>
        <v/>
      </c>
      <c r="T49" s="7">
        <f>K49*'Pesos finales'!$C$16+L49*'Pesos finales'!$C$17+M49*'Pesos finales'!$C$18+N49*'Pesos finales'!$C$19+O49*'Pesos finales'!$C$20+P49*'Pesos finales'!$C$21+Q49*'Pesos finales'!$C$22+R49*'Pesos finales'!$C$23+'Pesos finales'!$C$27</f>
        <v/>
      </c>
      <c r="U49" s="7">
        <f>K49*'Pesos finales'!$D$16+L49*'Pesos finales'!$D$17+M49*'Pesos finales'!$D$18+N49*'Pesos finales'!$D$19+O49*'Pesos finales'!$D$20+P49*'Pesos finales'!$D$21+Q49*'Pesos finales'!$D$22+R49*'Pesos finales'!$D$23+'Pesos finales'!$D$27</f>
        <v/>
      </c>
      <c r="V49" s="7">
        <f>EXP(S49)/(EXP(S49)+EXP(T49)+EXP(U49))</f>
        <v/>
      </c>
      <c r="W49" s="7">
        <f>EXP(T49)/(EXP(S49)+EXP(T49)+EXP(U49))</f>
        <v/>
      </c>
      <c r="X49" s="7">
        <f>EXP(U49)/(EXP(S49)+EXP(T49)+EXP(U49))</f>
        <v/>
      </c>
      <c r="Y49">
        <f>IF(AND(V49&gt;=W49,V49&gt;=X49),"Iris-setosa",IF(AND(W49&gt;=X49),"Iris-versicolor","Iris-virginica"))</f>
        <v/>
      </c>
      <c r="Z49" t="inlineStr">
        <is>
          <t>Iris-setosa</t>
        </is>
      </c>
      <c r="AA49">
        <f>IF(Y49=Z49,"Sí","No")</f>
        <v/>
      </c>
      <c r="AB49" s="7" t="n">
        <v>0.9981813488772512</v>
      </c>
      <c r="AC49" s="7" t="n">
        <v>0.001818570680886179</v>
      </c>
      <c r="AD49" s="7" t="n">
        <v>8.044186257540338e-08</v>
      </c>
      <c r="AE49" t="inlineStr">
        <is>
          <t>Iris-setosa</t>
        </is>
      </c>
      <c r="AF49" s="9">
        <f>MAX(ABS(V49-AB49),ABS(W49-AC49),ABS(X49-AD49))</f>
        <v/>
      </c>
      <c r="AG49">
        <f>IF(AND(Y49=AE49,AF49&lt;1E-9),"Sí","No")</f>
        <v/>
      </c>
    </row>
    <row r="50">
      <c r="A50" t="n">
        <v>44</v>
      </c>
      <c r="B50" t="inlineStr">
        <is>
          <t>entrenamiento</t>
        </is>
      </c>
      <c r="C50" t="n">
        <v>5</v>
      </c>
      <c r="D50" t="n">
        <v>3.5</v>
      </c>
      <c r="E50" t="n">
        <v>1.6</v>
      </c>
      <c r="F50" t="n">
        <v>0.6</v>
      </c>
      <c r="G50" s="7">
        <f>(C50-'Pesos finales'!$B$31)/'Pesos finales'!$B$32</f>
        <v/>
      </c>
      <c r="H50" s="7">
        <f>(D50-'Pesos finales'!$C$31)/'Pesos finales'!$C$32</f>
        <v/>
      </c>
      <c r="I50" s="7">
        <f>(E50-'Pesos finales'!$D$31)/'Pesos finales'!$D$32</f>
        <v/>
      </c>
      <c r="J50" s="7">
        <f>(F50-'Pesos finales'!$E$31)/'Pesos finales'!$E$32</f>
        <v/>
      </c>
      <c r="K50" s="7">
        <f>TANH(G50*'Pesos finales'!$B$5+H50*'Pesos finales'!$B$6+I50*'Pesos finales'!$B$7+J50*'Pesos finales'!$B$8+'Pesos finales'!$B$12)</f>
        <v/>
      </c>
      <c r="L50" s="7">
        <f>TANH(G50*'Pesos finales'!$C$5+H50*'Pesos finales'!$C$6+I50*'Pesos finales'!$C$7+J50*'Pesos finales'!$C$8+'Pesos finales'!$C$12)</f>
        <v/>
      </c>
      <c r="M50" s="7">
        <f>TANH(G50*'Pesos finales'!$D$5+H50*'Pesos finales'!$D$6+I50*'Pesos finales'!$D$7+J50*'Pesos finales'!$D$8+'Pesos finales'!$D$12)</f>
        <v/>
      </c>
      <c r="N50" s="7">
        <f>TANH(G50*'Pesos finales'!$E$5+H50*'Pesos finales'!$E$6+I50*'Pesos finales'!$E$7+J50*'Pesos finales'!$E$8+'Pesos finales'!$E$12)</f>
        <v/>
      </c>
      <c r="O50" s="7">
        <f>TANH(G50*'Pesos finales'!$F$5+H50*'Pesos finales'!$F$6+I50*'Pesos finales'!$F$7+J50*'Pesos finales'!$F$8+'Pesos finales'!$F$12)</f>
        <v/>
      </c>
      <c r="P50" s="7">
        <f>TANH(G50*'Pesos finales'!$G$5+H50*'Pesos finales'!$G$6+I50*'Pesos finales'!$G$7+J50*'Pesos finales'!$G$8+'Pesos finales'!$G$12)</f>
        <v/>
      </c>
      <c r="Q50" s="7">
        <f>TANH(G50*'Pesos finales'!$H$5+H50*'Pesos finales'!$H$6+I50*'Pesos finales'!$H$7+J50*'Pesos finales'!$H$8+'Pesos finales'!$H$12)</f>
        <v/>
      </c>
      <c r="R50" s="7">
        <f>TANH(G50*'Pesos finales'!$I$5+H50*'Pesos finales'!$I$6+I50*'Pesos finales'!$I$7+J50*'Pesos finales'!$I$8+'Pesos finales'!$I$12)</f>
        <v/>
      </c>
      <c r="S50" s="7">
        <f>K50*'Pesos finales'!$B$16+L50*'Pesos finales'!$B$17+M50*'Pesos finales'!$B$18+N50*'Pesos finales'!$B$19+O50*'Pesos finales'!$B$20+P50*'Pesos finales'!$B$21+Q50*'Pesos finales'!$B$22+R50*'Pesos finales'!$B$23+'Pesos finales'!$B$27</f>
        <v/>
      </c>
      <c r="T50" s="7">
        <f>K50*'Pesos finales'!$C$16+L50*'Pesos finales'!$C$17+M50*'Pesos finales'!$C$18+N50*'Pesos finales'!$C$19+O50*'Pesos finales'!$C$20+P50*'Pesos finales'!$C$21+Q50*'Pesos finales'!$C$22+R50*'Pesos finales'!$C$23+'Pesos finales'!$C$27</f>
        <v/>
      </c>
      <c r="U50" s="7">
        <f>K50*'Pesos finales'!$D$16+L50*'Pesos finales'!$D$17+M50*'Pesos finales'!$D$18+N50*'Pesos finales'!$D$19+O50*'Pesos finales'!$D$20+P50*'Pesos finales'!$D$21+Q50*'Pesos finales'!$D$22+R50*'Pesos finales'!$D$23+'Pesos finales'!$D$27</f>
        <v/>
      </c>
      <c r="V50" s="7">
        <f>EXP(S50)/(EXP(S50)+EXP(T50)+EXP(U50))</f>
        <v/>
      </c>
      <c r="W50" s="7">
        <f>EXP(T50)/(EXP(S50)+EXP(T50)+EXP(U50))</f>
        <v/>
      </c>
      <c r="X50" s="7">
        <f>EXP(U50)/(EXP(S50)+EXP(T50)+EXP(U50))</f>
        <v/>
      </c>
      <c r="Y50">
        <f>IF(AND(V50&gt;=W50,V50&gt;=X50),"Iris-setosa",IF(AND(W50&gt;=X50),"Iris-versicolor","Iris-virginica"))</f>
        <v/>
      </c>
      <c r="Z50" t="inlineStr">
        <is>
          <t>Iris-setosa</t>
        </is>
      </c>
      <c r="AA50">
        <f>IF(Y50=Z50,"Sí","No")</f>
        <v/>
      </c>
      <c r="AB50" s="7" t="n">
        <v>0.9978018010990386</v>
      </c>
      <c r="AC50" s="7" t="n">
        <v>0.00219808824885162</v>
      </c>
      <c r="AD50" s="7" t="n">
        <v>1.106521096887588e-07</v>
      </c>
      <c r="AE50" t="inlineStr">
        <is>
          <t>Iris-setosa</t>
        </is>
      </c>
      <c r="AF50" s="9">
        <f>MAX(ABS(V50-AB50),ABS(W50-AC50),ABS(X50-AD50))</f>
        <v/>
      </c>
      <c r="AG50">
        <f>IF(AND(Y50=AE50,AF50&lt;1E-9),"Sí","No")</f>
        <v/>
      </c>
    </row>
    <row r="51">
      <c r="A51" t="n">
        <v>45</v>
      </c>
      <c r="B51" t="inlineStr">
        <is>
          <t>entrenamiento</t>
        </is>
      </c>
      <c r="C51" t="n">
        <v>5.1</v>
      </c>
      <c r="D51" t="n">
        <v>3.8</v>
      </c>
      <c r="E51" t="n">
        <v>1.9</v>
      </c>
      <c r="F51" t="n">
        <v>0.4</v>
      </c>
      <c r="G51" s="7">
        <f>(C51-'Pesos finales'!$B$31)/'Pesos finales'!$B$32</f>
        <v/>
      </c>
      <c r="H51" s="7">
        <f>(D51-'Pesos finales'!$C$31)/'Pesos finales'!$C$32</f>
        <v/>
      </c>
      <c r="I51" s="7">
        <f>(E51-'Pesos finales'!$D$31)/'Pesos finales'!$D$32</f>
        <v/>
      </c>
      <c r="J51" s="7">
        <f>(F51-'Pesos finales'!$E$31)/'Pesos finales'!$E$32</f>
        <v/>
      </c>
      <c r="K51" s="7">
        <f>TANH(G51*'Pesos finales'!$B$5+H51*'Pesos finales'!$B$6+I51*'Pesos finales'!$B$7+J51*'Pesos finales'!$B$8+'Pesos finales'!$B$12)</f>
        <v/>
      </c>
      <c r="L51" s="7">
        <f>TANH(G51*'Pesos finales'!$C$5+H51*'Pesos finales'!$C$6+I51*'Pesos finales'!$C$7+J51*'Pesos finales'!$C$8+'Pesos finales'!$C$12)</f>
        <v/>
      </c>
      <c r="M51" s="7">
        <f>TANH(G51*'Pesos finales'!$D$5+H51*'Pesos finales'!$D$6+I51*'Pesos finales'!$D$7+J51*'Pesos finales'!$D$8+'Pesos finales'!$D$12)</f>
        <v/>
      </c>
      <c r="N51" s="7">
        <f>TANH(G51*'Pesos finales'!$E$5+H51*'Pesos finales'!$E$6+I51*'Pesos finales'!$E$7+J51*'Pesos finales'!$E$8+'Pesos finales'!$E$12)</f>
        <v/>
      </c>
      <c r="O51" s="7">
        <f>TANH(G51*'Pesos finales'!$F$5+H51*'Pesos finales'!$F$6+I51*'Pesos finales'!$F$7+J51*'Pesos finales'!$F$8+'Pesos finales'!$F$12)</f>
        <v/>
      </c>
      <c r="P51" s="7">
        <f>TANH(G51*'Pesos finales'!$G$5+H51*'Pesos finales'!$G$6+I51*'Pesos finales'!$G$7+J51*'Pesos finales'!$G$8+'Pesos finales'!$G$12)</f>
        <v/>
      </c>
      <c r="Q51" s="7">
        <f>TANH(G51*'Pesos finales'!$H$5+H51*'Pesos finales'!$H$6+I51*'Pesos finales'!$H$7+J51*'Pesos finales'!$H$8+'Pesos finales'!$H$12)</f>
        <v/>
      </c>
      <c r="R51" s="7">
        <f>TANH(G51*'Pesos finales'!$I$5+H51*'Pesos finales'!$I$6+I51*'Pesos finales'!$I$7+J51*'Pesos finales'!$I$8+'Pesos finales'!$I$12)</f>
        <v/>
      </c>
      <c r="S51" s="7">
        <f>K51*'Pesos finales'!$B$16+L51*'Pesos finales'!$B$17+M51*'Pesos finales'!$B$18+N51*'Pesos finales'!$B$19+O51*'Pesos finales'!$B$20+P51*'Pesos finales'!$B$21+Q51*'Pesos finales'!$B$22+R51*'Pesos finales'!$B$23+'Pesos finales'!$B$27</f>
        <v/>
      </c>
      <c r="T51" s="7">
        <f>K51*'Pesos finales'!$C$16+L51*'Pesos finales'!$C$17+M51*'Pesos finales'!$C$18+N51*'Pesos finales'!$C$19+O51*'Pesos finales'!$C$20+P51*'Pesos finales'!$C$21+Q51*'Pesos finales'!$C$22+R51*'Pesos finales'!$C$23+'Pesos finales'!$C$27</f>
        <v/>
      </c>
      <c r="U51" s="7">
        <f>K51*'Pesos finales'!$D$16+L51*'Pesos finales'!$D$17+M51*'Pesos finales'!$D$18+N51*'Pesos finales'!$D$19+O51*'Pesos finales'!$D$20+P51*'Pesos finales'!$D$21+Q51*'Pesos finales'!$D$22+R51*'Pesos finales'!$D$23+'Pesos finales'!$D$27</f>
        <v/>
      </c>
      <c r="V51" s="7">
        <f>EXP(S51)/(EXP(S51)+EXP(T51)+EXP(U51))</f>
        <v/>
      </c>
      <c r="W51" s="7">
        <f>EXP(T51)/(EXP(S51)+EXP(T51)+EXP(U51))</f>
        <v/>
      </c>
      <c r="X51" s="7">
        <f>EXP(U51)/(EXP(S51)+EXP(T51)+EXP(U51))</f>
        <v/>
      </c>
      <c r="Y51">
        <f>IF(AND(V51&gt;=W51,V51&gt;=X51),"Iris-setosa",IF(AND(W51&gt;=X51),"Iris-versicolor","Iris-virginica"))</f>
        <v/>
      </c>
      <c r="Z51" t="inlineStr">
        <is>
          <t>Iris-setosa</t>
        </is>
      </c>
      <c r="AA51">
        <f>IF(Y51=Z51,"Sí","No")</f>
        <v/>
      </c>
      <c r="AB51" s="7" t="n">
        <v>0.998165380401058</v>
      </c>
      <c r="AC51" s="7" t="n">
        <v>0.001834526841644006</v>
      </c>
      <c r="AD51" s="7" t="n">
        <v>9.275729821492787e-08</v>
      </c>
      <c r="AE51" t="inlineStr">
        <is>
          <t>Iris-setosa</t>
        </is>
      </c>
      <c r="AF51" s="9">
        <f>MAX(ABS(V51-AB51),ABS(W51-AC51),ABS(X51-AD51))</f>
        <v/>
      </c>
      <c r="AG51">
        <f>IF(AND(Y51=AE51,AF51&lt;1E-9),"Sí","No")</f>
        <v/>
      </c>
    </row>
    <row r="52">
      <c r="A52" t="n">
        <v>46</v>
      </c>
      <c r="B52" t="inlineStr">
        <is>
          <t>prueba</t>
        </is>
      </c>
      <c r="C52" t="n">
        <v>4.8</v>
      </c>
      <c r="D52" t="n">
        <v>3</v>
      </c>
      <c r="E52" t="n">
        <v>1.4</v>
      </c>
      <c r="F52" t="n">
        <v>0.3</v>
      </c>
      <c r="G52" s="7">
        <f>(C52-'Pesos finales'!$B$31)/'Pesos finales'!$B$32</f>
        <v/>
      </c>
      <c r="H52" s="7">
        <f>(D52-'Pesos finales'!$C$31)/'Pesos finales'!$C$32</f>
        <v/>
      </c>
      <c r="I52" s="7">
        <f>(E52-'Pesos finales'!$D$31)/'Pesos finales'!$D$32</f>
        <v/>
      </c>
      <c r="J52" s="7">
        <f>(F52-'Pesos finales'!$E$31)/'Pesos finales'!$E$32</f>
        <v/>
      </c>
      <c r="K52" s="7">
        <f>TANH(G52*'Pesos finales'!$B$5+H52*'Pesos finales'!$B$6+I52*'Pesos finales'!$B$7+J52*'Pesos finales'!$B$8+'Pesos finales'!$B$12)</f>
        <v/>
      </c>
      <c r="L52" s="7">
        <f>TANH(G52*'Pesos finales'!$C$5+H52*'Pesos finales'!$C$6+I52*'Pesos finales'!$C$7+J52*'Pesos finales'!$C$8+'Pesos finales'!$C$12)</f>
        <v/>
      </c>
      <c r="M52" s="7">
        <f>TANH(G52*'Pesos finales'!$D$5+H52*'Pesos finales'!$D$6+I52*'Pesos finales'!$D$7+J52*'Pesos finales'!$D$8+'Pesos finales'!$D$12)</f>
        <v/>
      </c>
      <c r="N52" s="7">
        <f>TANH(G52*'Pesos finales'!$E$5+H52*'Pesos finales'!$E$6+I52*'Pesos finales'!$E$7+J52*'Pesos finales'!$E$8+'Pesos finales'!$E$12)</f>
        <v/>
      </c>
      <c r="O52" s="7">
        <f>TANH(G52*'Pesos finales'!$F$5+H52*'Pesos finales'!$F$6+I52*'Pesos finales'!$F$7+J52*'Pesos finales'!$F$8+'Pesos finales'!$F$12)</f>
        <v/>
      </c>
      <c r="P52" s="7">
        <f>TANH(G52*'Pesos finales'!$G$5+H52*'Pesos finales'!$G$6+I52*'Pesos finales'!$G$7+J52*'Pesos finales'!$G$8+'Pesos finales'!$G$12)</f>
        <v/>
      </c>
      <c r="Q52" s="7">
        <f>TANH(G52*'Pesos finales'!$H$5+H52*'Pesos finales'!$H$6+I52*'Pesos finales'!$H$7+J52*'Pesos finales'!$H$8+'Pesos finales'!$H$12)</f>
        <v/>
      </c>
      <c r="R52" s="7">
        <f>TANH(G52*'Pesos finales'!$I$5+H52*'Pesos finales'!$I$6+I52*'Pesos finales'!$I$7+J52*'Pesos finales'!$I$8+'Pesos finales'!$I$12)</f>
        <v/>
      </c>
      <c r="S52" s="7">
        <f>K52*'Pesos finales'!$B$16+L52*'Pesos finales'!$B$17+M52*'Pesos finales'!$B$18+N52*'Pesos finales'!$B$19+O52*'Pesos finales'!$B$20+P52*'Pesos finales'!$B$21+Q52*'Pesos finales'!$B$22+R52*'Pesos finales'!$B$23+'Pesos finales'!$B$27</f>
        <v/>
      </c>
      <c r="T52" s="7">
        <f>K52*'Pesos finales'!$C$16+L52*'Pesos finales'!$C$17+M52*'Pesos finales'!$C$18+N52*'Pesos finales'!$C$19+O52*'Pesos finales'!$C$20+P52*'Pesos finales'!$C$21+Q52*'Pesos finales'!$C$22+R52*'Pesos finales'!$C$23+'Pesos finales'!$C$27</f>
        <v/>
      </c>
      <c r="U52" s="7">
        <f>K52*'Pesos finales'!$D$16+L52*'Pesos finales'!$D$17+M52*'Pesos finales'!$D$18+N52*'Pesos finales'!$D$19+O52*'Pesos finales'!$D$20+P52*'Pesos finales'!$D$21+Q52*'Pesos finales'!$D$22+R52*'Pesos finales'!$D$23+'Pesos finales'!$D$27</f>
        <v/>
      </c>
      <c r="V52" s="7">
        <f>EXP(S52)/(EXP(S52)+EXP(T52)+EXP(U52))</f>
        <v/>
      </c>
      <c r="W52" s="7">
        <f>EXP(T52)/(EXP(S52)+EXP(T52)+EXP(U52))</f>
        <v/>
      </c>
      <c r="X52" s="7">
        <f>EXP(U52)/(EXP(S52)+EXP(T52)+EXP(U52))</f>
        <v/>
      </c>
      <c r="Y52">
        <f>IF(AND(V52&gt;=W52,V52&gt;=X52),"Iris-setosa",IF(AND(W52&gt;=X52),"Iris-versicolor","Iris-virginica"))</f>
        <v/>
      </c>
      <c r="Z52" t="inlineStr">
        <is>
          <t>Iris-setosa</t>
        </is>
      </c>
      <c r="AA52">
        <f>IF(Y52=Z52,"Sí","No")</f>
        <v/>
      </c>
      <c r="AB52" s="7" t="n">
        <v>0.9974305868122842</v>
      </c>
      <c r="AC52" s="7" t="n">
        <v>0.002569308074636803</v>
      </c>
      <c r="AD52" s="7" t="n">
        <v>1.051130789809566e-07</v>
      </c>
      <c r="AE52" t="inlineStr">
        <is>
          <t>Iris-setosa</t>
        </is>
      </c>
      <c r="AF52" s="9">
        <f>MAX(ABS(V52-AB52),ABS(W52-AC52),ABS(X52-AD52))</f>
        <v/>
      </c>
      <c r="AG52">
        <f>IF(AND(Y52=AE52,AF52&lt;1E-9),"Sí","No")</f>
        <v/>
      </c>
    </row>
    <row r="53">
      <c r="A53" t="n">
        <v>47</v>
      </c>
      <c r="B53" t="inlineStr">
        <is>
          <t>prueba</t>
        </is>
      </c>
      <c r="C53" t="n">
        <v>5.1</v>
      </c>
      <c r="D53" t="n">
        <v>3.8</v>
      </c>
      <c r="E53" t="n">
        <v>1.6</v>
      </c>
      <c r="F53" t="n">
        <v>0.2</v>
      </c>
      <c r="G53" s="7">
        <f>(C53-'Pesos finales'!$B$31)/'Pesos finales'!$B$32</f>
        <v/>
      </c>
      <c r="H53" s="7">
        <f>(D53-'Pesos finales'!$C$31)/'Pesos finales'!$C$32</f>
        <v/>
      </c>
      <c r="I53" s="7">
        <f>(E53-'Pesos finales'!$D$31)/'Pesos finales'!$D$32</f>
        <v/>
      </c>
      <c r="J53" s="7">
        <f>(F53-'Pesos finales'!$E$31)/'Pesos finales'!$E$32</f>
        <v/>
      </c>
      <c r="K53" s="7">
        <f>TANH(G53*'Pesos finales'!$B$5+H53*'Pesos finales'!$B$6+I53*'Pesos finales'!$B$7+J53*'Pesos finales'!$B$8+'Pesos finales'!$B$12)</f>
        <v/>
      </c>
      <c r="L53" s="7">
        <f>TANH(G53*'Pesos finales'!$C$5+H53*'Pesos finales'!$C$6+I53*'Pesos finales'!$C$7+J53*'Pesos finales'!$C$8+'Pesos finales'!$C$12)</f>
        <v/>
      </c>
      <c r="M53" s="7">
        <f>TANH(G53*'Pesos finales'!$D$5+H53*'Pesos finales'!$D$6+I53*'Pesos finales'!$D$7+J53*'Pesos finales'!$D$8+'Pesos finales'!$D$12)</f>
        <v/>
      </c>
      <c r="N53" s="7">
        <f>TANH(G53*'Pesos finales'!$E$5+H53*'Pesos finales'!$E$6+I53*'Pesos finales'!$E$7+J53*'Pesos finales'!$E$8+'Pesos finales'!$E$12)</f>
        <v/>
      </c>
      <c r="O53" s="7">
        <f>TANH(G53*'Pesos finales'!$F$5+H53*'Pesos finales'!$F$6+I53*'Pesos finales'!$F$7+J53*'Pesos finales'!$F$8+'Pesos finales'!$F$12)</f>
        <v/>
      </c>
      <c r="P53" s="7">
        <f>TANH(G53*'Pesos finales'!$G$5+H53*'Pesos finales'!$G$6+I53*'Pesos finales'!$G$7+J53*'Pesos finales'!$G$8+'Pesos finales'!$G$12)</f>
        <v/>
      </c>
      <c r="Q53" s="7">
        <f>TANH(G53*'Pesos finales'!$H$5+H53*'Pesos finales'!$H$6+I53*'Pesos finales'!$H$7+J53*'Pesos finales'!$H$8+'Pesos finales'!$H$12)</f>
        <v/>
      </c>
      <c r="R53" s="7">
        <f>TANH(G53*'Pesos finales'!$I$5+H53*'Pesos finales'!$I$6+I53*'Pesos finales'!$I$7+J53*'Pesos finales'!$I$8+'Pesos finales'!$I$12)</f>
        <v/>
      </c>
      <c r="S53" s="7">
        <f>K53*'Pesos finales'!$B$16+L53*'Pesos finales'!$B$17+M53*'Pesos finales'!$B$18+N53*'Pesos finales'!$B$19+O53*'Pesos finales'!$B$20+P53*'Pesos finales'!$B$21+Q53*'Pesos finales'!$B$22+R53*'Pesos finales'!$B$23+'Pesos finales'!$B$27</f>
        <v/>
      </c>
      <c r="T53" s="7">
        <f>K53*'Pesos finales'!$C$16+L53*'Pesos finales'!$C$17+M53*'Pesos finales'!$C$18+N53*'Pesos finales'!$C$19+O53*'Pesos finales'!$C$20+P53*'Pesos finales'!$C$21+Q53*'Pesos finales'!$C$22+R53*'Pesos finales'!$C$23+'Pesos finales'!$C$27</f>
        <v/>
      </c>
      <c r="U53" s="7">
        <f>K53*'Pesos finales'!$D$16+L53*'Pesos finales'!$D$17+M53*'Pesos finales'!$D$18+N53*'Pesos finales'!$D$19+O53*'Pesos finales'!$D$20+P53*'Pesos finales'!$D$21+Q53*'Pesos finales'!$D$22+R53*'Pesos finales'!$D$23+'Pesos finales'!$D$27</f>
        <v/>
      </c>
      <c r="V53" s="7">
        <f>EXP(S53)/(EXP(S53)+EXP(T53)+EXP(U53))</f>
        <v/>
      </c>
      <c r="W53" s="7">
        <f>EXP(T53)/(EXP(S53)+EXP(T53)+EXP(U53))</f>
        <v/>
      </c>
      <c r="X53" s="7">
        <f>EXP(U53)/(EXP(S53)+EXP(T53)+EXP(U53))</f>
        <v/>
      </c>
      <c r="Y53">
        <f>IF(AND(V53&gt;=W53,V53&gt;=X53),"Iris-setosa",IF(AND(W53&gt;=X53),"Iris-versicolor","Iris-virginica"))</f>
        <v/>
      </c>
      <c r="Z53" t="inlineStr">
        <is>
          <t>Iris-setosa</t>
        </is>
      </c>
      <c r="AA53">
        <f>IF(Y53=Z53,"Sí","No")</f>
        <v/>
      </c>
      <c r="AB53" s="7" t="n">
        <v>0.9983340876424183</v>
      </c>
      <c r="AC53" s="7" t="n">
        <v>0.001665838631612381</v>
      </c>
      <c r="AD53" s="7" t="n">
        <v>7.372596938806153e-08</v>
      </c>
      <c r="AE53" t="inlineStr">
        <is>
          <t>Iris-setosa</t>
        </is>
      </c>
      <c r="AF53" s="9">
        <f>MAX(ABS(V53-AB53),ABS(W53-AC53),ABS(X53-AD53))</f>
        <v/>
      </c>
      <c r="AG53">
        <f>IF(AND(Y53=AE53,AF53&lt;1E-9),"Sí","No")</f>
        <v/>
      </c>
    </row>
    <row r="54">
      <c r="A54" t="n">
        <v>48</v>
      </c>
      <c r="B54" t="inlineStr">
        <is>
          <t>prueba</t>
        </is>
      </c>
      <c r="C54" t="n">
        <v>4.6</v>
      </c>
      <c r="D54" t="n">
        <v>3.2</v>
      </c>
      <c r="E54" t="n">
        <v>1.4</v>
      </c>
      <c r="F54" t="n">
        <v>0.2</v>
      </c>
      <c r="G54" s="7">
        <f>(C54-'Pesos finales'!$B$31)/'Pesos finales'!$B$32</f>
        <v/>
      </c>
      <c r="H54" s="7">
        <f>(D54-'Pesos finales'!$C$31)/'Pesos finales'!$C$32</f>
        <v/>
      </c>
      <c r="I54" s="7">
        <f>(E54-'Pesos finales'!$D$31)/'Pesos finales'!$D$32</f>
        <v/>
      </c>
      <c r="J54" s="7">
        <f>(F54-'Pesos finales'!$E$31)/'Pesos finales'!$E$32</f>
        <v/>
      </c>
      <c r="K54" s="7">
        <f>TANH(G54*'Pesos finales'!$B$5+H54*'Pesos finales'!$B$6+I54*'Pesos finales'!$B$7+J54*'Pesos finales'!$B$8+'Pesos finales'!$B$12)</f>
        <v/>
      </c>
      <c r="L54" s="7">
        <f>TANH(G54*'Pesos finales'!$C$5+H54*'Pesos finales'!$C$6+I54*'Pesos finales'!$C$7+J54*'Pesos finales'!$C$8+'Pesos finales'!$C$12)</f>
        <v/>
      </c>
      <c r="M54" s="7">
        <f>TANH(G54*'Pesos finales'!$D$5+H54*'Pesos finales'!$D$6+I54*'Pesos finales'!$D$7+J54*'Pesos finales'!$D$8+'Pesos finales'!$D$12)</f>
        <v/>
      </c>
      <c r="N54" s="7">
        <f>TANH(G54*'Pesos finales'!$E$5+H54*'Pesos finales'!$E$6+I54*'Pesos finales'!$E$7+J54*'Pesos finales'!$E$8+'Pesos finales'!$E$12)</f>
        <v/>
      </c>
      <c r="O54" s="7">
        <f>TANH(G54*'Pesos finales'!$F$5+H54*'Pesos finales'!$F$6+I54*'Pesos finales'!$F$7+J54*'Pesos finales'!$F$8+'Pesos finales'!$F$12)</f>
        <v/>
      </c>
      <c r="P54" s="7">
        <f>TANH(G54*'Pesos finales'!$G$5+H54*'Pesos finales'!$G$6+I54*'Pesos finales'!$G$7+J54*'Pesos finales'!$G$8+'Pesos finales'!$G$12)</f>
        <v/>
      </c>
      <c r="Q54" s="7">
        <f>TANH(G54*'Pesos finales'!$H$5+H54*'Pesos finales'!$H$6+I54*'Pesos finales'!$H$7+J54*'Pesos finales'!$H$8+'Pesos finales'!$H$12)</f>
        <v/>
      </c>
      <c r="R54" s="7">
        <f>TANH(G54*'Pesos finales'!$I$5+H54*'Pesos finales'!$I$6+I54*'Pesos finales'!$I$7+J54*'Pesos finales'!$I$8+'Pesos finales'!$I$12)</f>
        <v/>
      </c>
      <c r="S54" s="7">
        <f>K54*'Pesos finales'!$B$16+L54*'Pesos finales'!$B$17+M54*'Pesos finales'!$B$18+N54*'Pesos finales'!$B$19+O54*'Pesos finales'!$B$20+P54*'Pesos finales'!$B$21+Q54*'Pesos finales'!$B$22+R54*'Pesos finales'!$B$23+'Pesos finales'!$B$27</f>
        <v/>
      </c>
      <c r="T54" s="7">
        <f>K54*'Pesos finales'!$C$16+L54*'Pesos finales'!$C$17+M54*'Pesos finales'!$C$18+N54*'Pesos finales'!$C$19+O54*'Pesos finales'!$C$20+P54*'Pesos finales'!$C$21+Q54*'Pesos finales'!$C$22+R54*'Pesos finales'!$C$23+'Pesos finales'!$C$27</f>
        <v/>
      </c>
      <c r="U54" s="7">
        <f>K54*'Pesos finales'!$D$16+L54*'Pesos finales'!$D$17+M54*'Pesos finales'!$D$18+N54*'Pesos finales'!$D$19+O54*'Pesos finales'!$D$20+P54*'Pesos finales'!$D$21+Q54*'Pesos finales'!$D$22+R54*'Pesos finales'!$D$23+'Pesos finales'!$D$27</f>
        <v/>
      </c>
      <c r="V54" s="7">
        <f>EXP(S54)/(EXP(S54)+EXP(T54)+EXP(U54))</f>
        <v/>
      </c>
      <c r="W54" s="7">
        <f>EXP(T54)/(EXP(S54)+EXP(T54)+EXP(U54))</f>
        <v/>
      </c>
      <c r="X54" s="7">
        <f>EXP(U54)/(EXP(S54)+EXP(T54)+EXP(U54))</f>
        <v/>
      </c>
      <c r="Y54">
        <f>IF(AND(V54&gt;=W54,V54&gt;=X54),"Iris-setosa",IF(AND(W54&gt;=X54),"Iris-versicolor","Iris-virginica"))</f>
        <v/>
      </c>
      <c r="Z54" t="inlineStr">
        <is>
          <t>Iris-setosa</t>
        </is>
      </c>
      <c r="AA54">
        <f>IF(Y54=Z54,"Sí","No")</f>
        <v/>
      </c>
      <c r="AB54" s="7" t="n">
        <v>0.9980865144581781</v>
      </c>
      <c r="AC54" s="7" t="n">
        <v>0.00191340320155549</v>
      </c>
      <c r="AD54" s="7" t="n">
        <v>8.234026638797594e-08</v>
      </c>
      <c r="AE54" t="inlineStr">
        <is>
          <t>Iris-setosa</t>
        </is>
      </c>
      <c r="AF54" s="9">
        <f>MAX(ABS(V54-AB54),ABS(W54-AC54),ABS(X54-AD54))</f>
        <v/>
      </c>
      <c r="AG54">
        <f>IF(AND(Y54=AE54,AF54&lt;1E-9),"Sí","No")</f>
        <v/>
      </c>
    </row>
    <row r="55">
      <c r="A55" t="n">
        <v>49</v>
      </c>
      <c r="B55" t="inlineStr">
        <is>
          <t>entrenamiento</t>
        </is>
      </c>
      <c r="C55" t="n">
        <v>5.3</v>
      </c>
      <c r="D55" t="n">
        <v>3.7</v>
      </c>
      <c r="E55" t="n">
        <v>1.5</v>
      </c>
      <c r="F55" t="n">
        <v>0.2</v>
      </c>
      <c r="G55" s="7">
        <f>(C55-'Pesos finales'!$B$31)/'Pesos finales'!$B$32</f>
        <v/>
      </c>
      <c r="H55" s="7">
        <f>(D55-'Pesos finales'!$C$31)/'Pesos finales'!$C$32</f>
        <v/>
      </c>
      <c r="I55" s="7">
        <f>(E55-'Pesos finales'!$D$31)/'Pesos finales'!$D$32</f>
        <v/>
      </c>
      <c r="J55" s="7">
        <f>(F55-'Pesos finales'!$E$31)/'Pesos finales'!$E$32</f>
        <v/>
      </c>
      <c r="K55" s="7">
        <f>TANH(G55*'Pesos finales'!$B$5+H55*'Pesos finales'!$B$6+I55*'Pesos finales'!$B$7+J55*'Pesos finales'!$B$8+'Pesos finales'!$B$12)</f>
        <v/>
      </c>
      <c r="L55" s="7">
        <f>TANH(G55*'Pesos finales'!$C$5+H55*'Pesos finales'!$C$6+I55*'Pesos finales'!$C$7+J55*'Pesos finales'!$C$8+'Pesos finales'!$C$12)</f>
        <v/>
      </c>
      <c r="M55" s="7">
        <f>TANH(G55*'Pesos finales'!$D$5+H55*'Pesos finales'!$D$6+I55*'Pesos finales'!$D$7+J55*'Pesos finales'!$D$8+'Pesos finales'!$D$12)</f>
        <v/>
      </c>
      <c r="N55" s="7">
        <f>TANH(G55*'Pesos finales'!$E$5+H55*'Pesos finales'!$E$6+I55*'Pesos finales'!$E$7+J55*'Pesos finales'!$E$8+'Pesos finales'!$E$12)</f>
        <v/>
      </c>
      <c r="O55" s="7">
        <f>TANH(G55*'Pesos finales'!$F$5+H55*'Pesos finales'!$F$6+I55*'Pesos finales'!$F$7+J55*'Pesos finales'!$F$8+'Pesos finales'!$F$12)</f>
        <v/>
      </c>
      <c r="P55" s="7">
        <f>TANH(G55*'Pesos finales'!$G$5+H55*'Pesos finales'!$G$6+I55*'Pesos finales'!$G$7+J55*'Pesos finales'!$G$8+'Pesos finales'!$G$12)</f>
        <v/>
      </c>
      <c r="Q55" s="7">
        <f>TANH(G55*'Pesos finales'!$H$5+H55*'Pesos finales'!$H$6+I55*'Pesos finales'!$H$7+J55*'Pesos finales'!$H$8+'Pesos finales'!$H$12)</f>
        <v/>
      </c>
      <c r="R55" s="7">
        <f>TANH(G55*'Pesos finales'!$I$5+H55*'Pesos finales'!$I$6+I55*'Pesos finales'!$I$7+J55*'Pesos finales'!$I$8+'Pesos finales'!$I$12)</f>
        <v/>
      </c>
      <c r="S55" s="7">
        <f>K55*'Pesos finales'!$B$16+L55*'Pesos finales'!$B$17+M55*'Pesos finales'!$B$18+N55*'Pesos finales'!$B$19+O55*'Pesos finales'!$B$20+P55*'Pesos finales'!$B$21+Q55*'Pesos finales'!$B$22+R55*'Pesos finales'!$B$23+'Pesos finales'!$B$27</f>
        <v/>
      </c>
      <c r="T55" s="7">
        <f>K55*'Pesos finales'!$C$16+L55*'Pesos finales'!$C$17+M55*'Pesos finales'!$C$18+N55*'Pesos finales'!$C$19+O55*'Pesos finales'!$C$20+P55*'Pesos finales'!$C$21+Q55*'Pesos finales'!$C$22+R55*'Pesos finales'!$C$23+'Pesos finales'!$C$27</f>
        <v/>
      </c>
      <c r="U55" s="7">
        <f>K55*'Pesos finales'!$D$16+L55*'Pesos finales'!$D$17+M55*'Pesos finales'!$D$18+N55*'Pesos finales'!$D$19+O55*'Pesos finales'!$D$20+P55*'Pesos finales'!$D$21+Q55*'Pesos finales'!$D$22+R55*'Pesos finales'!$D$23+'Pesos finales'!$D$27</f>
        <v/>
      </c>
      <c r="V55" s="7">
        <f>EXP(S55)/(EXP(S55)+EXP(T55)+EXP(U55))</f>
        <v/>
      </c>
      <c r="W55" s="7">
        <f>EXP(T55)/(EXP(S55)+EXP(T55)+EXP(U55))</f>
        <v/>
      </c>
      <c r="X55" s="7">
        <f>EXP(U55)/(EXP(S55)+EXP(T55)+EXP(U55))</f>
        <v/>
      </c>
      <c r="Y55">
        <f>IF(AND(V55&gt;=W55,V55&gt;=X55),"Iris-setosa",IF(AND(W55&gt;=X55),"Iris-versicolor","Iris-virginica"))</f>
        <v/>
      </c>
      <c r="Z55" t="inlineStr">
        <is>
          <t>Iris-setosa</t>
        </is>
      </c>
      <c r="AA55">
        <f>IF(Y55=Z55,"Sí","No")</f>
        <v/>
      </c>
      <c r="AB55" s="7" t="n">
        <v>0.9982704701280994</v>
      </c>
      <c r="AC55" s="7" t="n">
        <v>0.001729457188870889</v>
      </c>
      <c r="AD55" s="7" t="n">
        <v>7.268302979891346e-08</v>
      </c>
      <c r="AE55" t="inlineStr">
        <is>
          <t>Iris-setosa</t>
        </is>
      </c>
      <c r="AF55" s="9">
        <f>MAX(ABS(V55-AB55),ABS(W55-AC55),ABS(X55-AD55))</f>
        <v/>
      </c>
      <c r="AG55">
        <f>IF(AND(Y55=AE55,AF55&lt;1E-9),"Sí","No")</f>
        <v/>
      </c>
    </row>
    <row r="56">
      <c r="A56" t="n">
        <v>50</v>
      </c>
      <c r="B56" t="inlineStr">
        <is>
          <t>prueba</t>
        </is>
      </c>
      <c r="C56" t="n">
        <v>5</v>
      </c>
      <c r="D56" t="n">
        <v>3.3</v>
      </c>
      <c r="E56" t="n">
        <v>1.4</v>
      </c>
      <c r="F56" t="n">
        <v>0.2</v>
      </c>
      <c r="G56" s="7">
        <f>(C56-'Pesos finales'!$B$31)/'Pesos finales'!$B$32</f>
        <v/>
      </c>
      <c r="H56" s="7">
        <f>(D56-'Pesos finales'!$C$31)/'Pesos finales'!$C$32</f>
        <v/>
      </c>
      <c r="I56" s="7">
        <f>(E56-'Pesos finales'!$D$31)/'Pesos finales'!$D$32</f>
        <v/>
      </c>
      <c r="J56" s="7">
        <f>(F56-'Pesos finales'!$E$31)/'Pesos finales'!$E$32</f>
        <v/>
      </c>
      <c r="K56" s="7">
        <f>TANH(G56*'Pesos finales'!$B$5+H56*'Pesos finales'!$B$6+I56*'Pesos finales'!$B$7+J56*'Pesos finales'!$B$8+'Pesos finales'!$B$12)</f>
        <v/>
      </c>
      <c r="L56" s="7">
        <f>TANH(G56*'Pesos finales'!$C$5+H56*'Pesos finales'!$C$6+I56*'Pesos finales'!$C$7+J56*'Pesos finales'!$C$8+'Pesos finales'!$C$12)</f>
        <v/>
      </c>
      <c r="M56" s="7">
        <f>TANH(G56*'Pesos finales'!$D$5+H56*'Pesos finales'!$D$6+I56*'Pesos finales'!$D$7+J56*'Pesos finales'!$D$8+'Pesos finales'!$D$12)</f>
        <v/>
      </c>
      <c r="N56" s="7">
        <f>TANH(G56*'Pesos finales'!$E$5+H56*'Pesos finales'!$E$6+I56*'Pesos finales'!$E$7+J56*'Pesos finales'!$E$8+'Pesos finales'!$E$12)</f>
        <v/>
      </c>
      <c r="O56" s="7">
        <f>TANH(G56*'Pesos finales'!$F$5+H56*'Pesos finales'!$F$6+I56*'Pesos finales'!$F$7+J56*'Pesos finales'!$F$8+'Pesos finales'!$F$12)</f>
        <v/>
      </c>
      <c r="P56" s="7">
        <f>TANH(G56*'Pesos finales'!$G$5+H56*'Pesos finales'!$G$6+I56*'Pesos finales'!$G$7+J56*'Pesos finales'!$G$8+'Pesos finales'!$G$12)</f>
        <v/>
      </c>
      <c r="Q56" s="7">
        <f>TANH(G56*'Pesos finales'!$H$5+H56*'Pesos finales'!$H$6+I56*'Pesos finales'!$H$7+J56*'Pesos finales'!$H$8+'Pesos finales'!$H$12)</f>
        <v/>
      </c>
      <c r="R56" s="7">
        <f>TANH(G56*'Pesos finales'!$I$5+H56*'Pesos finales'!$I$6+I56*'Pesos finales'!$I$7+J56*'Pesos finales'!$I$8+'Pesos finales'!$I$12)</f>
        <v/>
      </c>
      <c r="S56" s="7">
        <f>K56*'Pesos finales'!$B$16+L56*'Pesos finales'!$B$17+M56*'Pesos finales'!$B$18+N56*'Pesos finales'!$B$19+O56*'Pesos finales'!$B$20+P56*'Pesos finales'!$B$21+Q56*'Pesos finales'!$B$22+R56*'Pesos finales'!$B$23+'Pesos finales'!$B$27</f>
        <v/>
      </c>
      <c r="T56" s="7">
        <f>K56*'Pesos finales'!$C$16+L56*'Pesos finales'!$C$17+M56*'Pesos finales'!$C$18+N56*'Pesos finales'!$C$19+O56*'Pesos finales'!$C$20+P56*'Pesos finales'!$C$21+Q56*'Pesos finales'!$C$22+R56*'Pesos finales'!$C$23+'Pesos finales'!$C$27</f>
        <v/>
      </c>
      <c r="U56" s="7">
        <f>K56*'Pesos finales'!$D$16+L56*'Pesos finales'!$D$17+M56*'Pesos finales'!$D$18+N56*'Pesos finales'!$D$19+O56*'Pesos finales'!$D$20+P56*'Pesos finales'!$D$21+Q56*'Pesos finales'!$D$22+R56*'Pesos finales'!$D$23+'Pesos finales'!$D$27</f>
        <v/>
      </c>
      <c r="V56" s="7">
        <f>EXP(S56)/(EXP(S56)+EXP(T56)+EXP(U56))</f>
        <v/>
      </c>
      <c r="W56" s="7">
        <f>EXP(T56)/(EXP(S56)+EXP(T56)+EXP(U56))</f>
        <v/>
      </c>
      <c r="X56" s="7">
        <f>EXP(U56)/(EXP(S56)+EXP(T56)+EXP(U56))</f>
        <v/>
      </c>
      <c r="Y56">
        <f>IF(AND(V56&gt;=W56,V56&gt;=X56),"Iris-setosa",IF(AND(W56&gt;=X56),"Iris-versicolor","Iris-virginica"))</f>
        <v/>
      </c>
      <c r="Z56" t="inlineStr">
        <is>
          <t>Iris-setosa</t>
        </is>
      </c>
      <c r="AA56">
        <f>IF(Y56=Z56,"Sí","No")</f>
        <v/>
      </c>
      <c r="AB56" s="7" t="n">
        <v>0.9980443314409592</v>
      </c>
      <c r="AC56" s="7" t="n">
        <v>0.001955587802545845</v>
      </c>
      <c r="AD56" s="7" t="n">
        <v>8.07564949781414e-08</v>
      </c>
      <c r="AE56" t="inlineStr">
        <is>
          <t>Iris-setosa</t>
        </is>
      </c>
      <c r="AF56" s="9">
        <f>MAX(ABS(V56-AB56),ABS(W56-AC56),ABS(X56-AD56))</f>
        <v/>
      </c>
      <c r="AG56">
        <f>IF(AND(Y56=AE56,AF56&lt;1E-9),"Sí","No")</f>
        <v/>
      </c>
    </row>
    <row r="57">
      <c r="A57" t="n">
        <v>51</v>
      </c>
      <c r="B57" t="inlineStr">
        <is>
          <t>prueba</t>
        </is>
      </c>
      <c r="C57" t="n">
        <v>7</v>
      </c>
      <c r="D57" t="n">
        <v>3.2</v>
      </c>
      <c r="E57" t="n">
        <v>4.7</v>
      </c>
      <c r="F57" t="n">
        <v>1.4</v>
      </c>
      <c r="G57" s="7">
        <f>(C57-'Pesos finales'!$B$31)/'Pesos finales'!$B$32</f>
        <v/>
      </c>
      <c r="H57" s="7">
        <f>(D57-'Pesos finales'!$C$31)/'Pesos finales'!$C$32</f>
        <v/>
      </c>
      <c r="I57" s="7">
        <f>(E57-'Pesos finales'!$D$31)/'Pesos finales'!$D$32</f>
        <v/>
      </c>
      <c r="J57" s="7">
        <f>(F57-'Pesos finales'!$E$31)/'Pesos finales'!$E$32</f>
        <v/>
      </c>
      <c r="K57" s="7">
        <f>TANH(G57*'Pesos finales'!$B$5+H57*'Pesos finales'!$B$6+I57*'Pesos finales'!$B$7+J57*'Pesos finales'!$B$8+'Pesos finales'!$B$12)</f>
        <v/>
      </c>
      <c r="L57" s="7">
        <f>TANH(G57*'Pesos finales'!$C$5+H57*'Pesos finales'!$C$6+I57*'Pesos finales'!$C$7+J57*'Pesos finales'!$C$8+'Pesos finales'!$C$12)</f>
        <v/>
      </c>
      <c r="M57" s="7">
        <f>TANH(G57*'Pesos finales'!$D$5+H57*'Pesos finales'!$D$6+I57*'Pesos finales'!$D$7+J57*'Pesos finales'!$D$8+'Pesos finales'!$D$12)</f>
        <v/>
      </c>
      <c r="N57" s="7">
        <f>TANH(G57*'Pesos finales'!$E$5+H57*'Pesos finales'!$E$6+I57*'Pesos finales'!$E$7+J57*'Pesos finales'!$E$8+'Pesos finales'!$E$12)</f>
        <v/>
      </c>
      <c r="O57" s="7">
        <f>TANH(G57*'Pesos finales'!$F$5+H57*'Pesos finales'!$F$6+I57*'Pesos finales'!$F$7+J57*'Pesos finales'!$F$8+'Pesos finales'!$F$12)</f>
        <v/>
      </c>
      <c r="P57" s="7">
        <f>TANH(G57*'Pesos finales'!$G$5+H57*'Pesos finales'!$G$6+I57*'Pesos finales'!$G$7+J57*'Pesos finales'!$G$8+'Pesos finales'!$G$12)</f>
        <v/>
      </c>
      <c r="Q57" s="7">
        <f>TANH(G57*'Pesos finales'!$H$5+H57*'Pesos finales'!$H$6+I57*'Pesos finales'!$H$7+J57*'Pesos finales'!$H$8+'Pesos finales'!$H$12)</f>
        <v/>
      </c>
      <c r="R57" s="7">
        <f>TANH(G57*'Pesos finales'!$I$5+H57*'Pesos finales'!$I$6+I57*'Pesos finales'!$I$7+J57*'Pesos finales'!$I$8+'Pesos finales'!$I$12)</f>
        <v/>
      </c>
      <c r="S57" s="7">
        <f>K57*'Pesos finales'!$B$16+L57*'Pesos finales'!$B$17+M57*'Pesos finales'!$B$18+N57*'Pesos finales'!$B$19+O57*'Pesos finales'!$B$20+P57*'Pesos finales'!$B$21+Q57*'Pesos finales'!$B$22+R57*'Pesos finales'!$B$23+'Pesos finales'!$B$27</f>
        <v/>
      </c>
      <c r="T57" s="7">
        <f>K57*'Pesos finales'!$C$16+L57*'Pesos finales'!$C$17+M57*'Pesos finales'!$C$18+N57*'Pesos finales'!$C$19+O57*'Pesos finales'!$C$20+P57*'Pesos finales'!$C$21+Q57*'Pesos finales'!$C$22+R57*'Pesos finales'!$C$23+'Pesos finales'!$C$27</f>
        <v/>
      </c>
      <c r="U57" s="7">
        <f>K57*'Pesos finales'!$D$16+L57*'Pesos finales'!$D$17+M57*'Pesos finales'!$D$18+N57*'Pesos finales'!$D$19+O57*'Pesos finales'!$D$20+P57*'Pesos finales'!$D$21+Q57*'Pesos finales'!$D$22+R57*'Pesos finales'!$D$23+'Pesos finales'!$D$27</f>
        <v/>
      </c>
      <c r="V57" s="7">
        <f>EXP(S57)/(EXP(S57)+EXP(T57)+EXP(U57))</f>
        <v/>
      </c>
      <c r="W57" s="7">
        <f>EXP(T57)/(EXP(S57)+EXP(T57)+EXP(U57))</f>
        <v/>
      </c>
      <c r="X57" s="7">
        <f>EXP(U57)/(EXP(S57)+EXP(T57)+EXP(U57))</f>
        <v/>
      </c>
      <c r="Y57">
        <f>IF(AND(V57&gt;=W57,V57&gt;=X57),"Iris-setosa",IF(AND(W57&gt;=X57),"Iris-versicolor","Iris-virginica"))</f>
        <v/>
      </c>
      <c r="Z57" t="inlineStr">
        <is>
          <t>Iris-versicolor</t>
        </is>
      </c>
      <c r="AA57">
        <f>IF(Y57=Z57,"Sí","No")</f>
        <v/>
      </c>
      <c r="AB57" s="7" t="n">
        <v>0.0004689216329599747</v>
      </c>
      <c r="AC57" s="7" t="n">
        <v>0.9981137172628962</v>
      </c>
      <c r="AD57" s="7" t="n">
        <v>0.001417361104143746</v>
      </c>
      <c r="AE57" t="inlineStr">
        <is>
          <t>Iris-versicolor</t>
        </is>
      </c>
      <c r="AF57" s="9">
        <f>MAX(ABS(V57-AB57),ABS(W57-AC57),ABS(X57-AD57))</f>
        <v/>
      </c>
      <c r="AG57">
        <f>IF(AND(Y57=AE57,AF57&lt;1E-9),"Sí","No")</f>
        <v/>
      </c>
    </row>
    <row r="58">
      <c r="A58" t="n">
        <v>52</v>
      </c>
      <c r="B58" t="inlineStr">
        <is>
          <t>entrenamiento</t>
        </is>
      </c>
      <c r="C58" t="n">
        <v>6.4</v>
      </c>
      <c r="D58" t="n">
        <v>3.2</v>
      </c>
      <c r="E58" t="n">
        <v>4.5</v>
      </c>
      <c r="F58" t="n">
        <v>1.5</v>
      </c>
      <c r="G58" s="7">
        <f>(C58-'Pesos finales'!$B$31)/'Pesos finales'!$B$32</f>
        <v/>
      </c>
      <c r="H58" s="7">
        <f>(D58-'Pesos finales'!$C$31)/'Pesos finales'!$C$32</f>
        <v/>
      </c>
      <c r="I58" s="7">
        <f>(E58-'Pesos finales'!$D$31)/'Pesos finales'!$D$32</f>
        <v/>
      </c>
      <c r="J58" s="7">
        <f>(F58-'Pesos finales'!$E$31)/'Pesos finales'!$E$32</f>
        <v/>
      </c>
      <c r="K58" s="7">
        <f>TANH(G58*'Pesos finales'!$B$5+H58*'Pesos finales'!$B$6+I58*'Pesos finales'!$B$7+J58*'Pesos finales'!$B$8+'Pesos finales'!$B$12)</f>
        <v/>
      </c>
      <c r="L58" s="7">
        <f>TANH(G58*'Pesos finales'!$C$5+H58*'Pesos finales'!$C$6+I58*'Pesos finales'!$C$7+J58*'Pesos finales'!$C$8+'Pesos finales'!$C$12)</f>
        <v/>
      </c>
      <c r="M58" s="7">
        <f>TANH(G58*'Pesos finales'!$D$5+H58*'Pesos finales'!$D$6+I58*'Pesos finales'!$D$7+J58*'Pesos finales'!$D$8+'Pesos finales'!$D$12)</f>
        <v/>
      </c>
      <c r="N58" s="7">
        <f>TANH(G58*'Pesos finales'!$E$5+H58*'Pesos finales'!$E$6+I58*'Pesos finales'!$E$7+J58*'Pesos finales'!$E$8+'Pesos finales'!$E$12)</f>
        <v/>
      </c>
      <c r="O58" s="7">
        <f>TANH(G58*'Pesos finales'!$F$5+H58*'Pesos finales'!$F$6+I58*'Pesos finales'!$F$7+J58*'Pesos finales'!$F$8+'Pesos finales'!$F$12)</f>
        <v/>
      </c>
      <c r="P58" s="7">
        <f>TANH(G58*'Pesos finales'!$G$5+H58*'Pesos finales'!$G$6+I58*'Pesos finales'!$G$7+J58*'Pesos finales'!$G$8+'Pesos finales'!$G$12)</f>
        <v/>
      </c>
      <c r="Q58" s="7">
        <f>TANH(G58*'Pesos finales'!$H$5+H58*'Pesos finales'!$H$6+I58*'Pesos finales'!$H$7+J58*'Pesos finales'!$H$8+'Pesos finales'!$H$12)</f>
        <v/>
      </c>
      <c r="R58" s="7">
        <f>TANH(G58*'Pesos finales'!$I$5+H58*'Pesos finales'!$I$6+I58*'Pesos finales'!$I$7+J58*'Pesos finales'!$I$8+'Pesos finales'!$I$12)</f>
        <v/>
      </c>
      <c r="S58" s="7">
        <f>K58*'Pesos finales'!$B$16+L58*'Pesos finales'!$B$17+M58*'Pesos finales'!$B$18+N58*'Pesos finales'!$B$19+O58*'Pesos finales'!$B$20+P58*'Pesos finales'!$B$21+Q58*'Pesos finales'!$B$22+R58*'Pesos finales'!$B$23+'Pesos finales'!$B$27</f>
        <v/>
      </c>
      <c r="T58" s="7">
        <f>K58*'Pesos finales'!$C$16+L58*'Pesos finales'!$C$17+M58*'Pesos finales'!$C$18+N58*'Pesos finales'!$C$19+O58*'Pesos finales'!$C$20+P58*'Pesos finales'!$C$21+Q58*'Pesos finales'!$C$22+R58*'Pesos finales'!$C$23+'Pesos finales'!$C$27</f>
        <v/>
      </c>
      <c r="U58" s="7">
        <f>K58*'Pesos finales'!$D$16+L58*'Pesos finales'!$D$17+M58*'Pesos finales'!$D$18+N58*'Pesos finales'!$D$19+O58*'Pesos finales'!$D$20+P58*'Pesos finales'!$D$21+Q58*'Pesos finales'!$D$22+R58*'Pesos finales'!$D$23+'Pesos finales'!$D$27</f>
        <v/>
      </c>
      <c r="V58" s="7">
        <f>EXP(S58)/(EXP(S58)+EXP(T58)+EXP(U58))</f>
        <v/>
      </c>
      <c r="W58" s="7">
        <f>EXP(T58)/(EXP(S58)+EXP(T58)+EXP(U58))</f>
        <v/>
      </c>
      <c r="X58" s="7">
        <f>EXP(U58)/(EXP(S58)+EXP(T58)+EXP(U58))</f>
        <v/>
      </c>
      <c r="Y58">
        <f>IF(AND(V58&gt;=W58,V58&gt;=X58),"Iris-setosa",IF(AND(W58&gt;=X58),"Iris-versicolor","Iris-virginica"))</f>
        <v/>
      </c>
      <c r="Z58" t="inlineStr">
        <is>
          <t>Iris-versicolor</t>
        </is>
      </c>
      <c r="AA58">
        <f>IF(Y58=Z58,"Sí","No")</f>
        <v/>
      </c>
      <c r="AB58" s="7" t="n">
        <v>0.0009077785979722976</v>
      </c>
      <c r="AC58" s="7" t="n">
        <v>0.9968499312095348</v>
      </c>
      <c r="AD58" s="7" t="n">
        <v>0.002242290192492956</v>
      </c>
      <c r="AE58" t="inlineStr">
        <is>
          <t>Iris-versicolor</t>
        </is>
      </c>
      <c r="AF58" s="9">
        <f>MAX(ABS(V58-AB58),ABS(W58-AC58),ABS(X58-AD58))</f>
        <v/>
      </c>
      <c r="AG58">
        <f>IF(AND(Y58=AE58,AF58&lt;1E-9),"Sí","No")</f>
        <v/>
      </c>
    </row>
    <row r="59">
      <c r="A59" t="n">
        <v>53</v>
      </c>
      <c r="B59" t="inlineStr">
        <is>
          <t>entrenamiento</t>
        </is>
      </c>
      <c r="C59" t="n">
        <v>6.9</v>
      </c>
      <c r="D59" t="n">
        <v>3.1</v>
      </c>
      <c r="E59" t="n">
        <v>4.9</v>
      </c>
      <c r="F59" t="n">
        <v>1.5</v>
      </c>
      <c r="G59" s="7">
        <f>(C59-'Pesos finales'!$B$31)/'Pesos finales'!$B$32</f>
        <v/>
      </c>
      <c r="H59" s="7">
        <f>(D59-'Pesos finales'!$C$31)/'Pesos finales'!$C$32</f>
        <v/>
      </c>
      <c r="I59" s="7">
        <f>(E59-'Pesos finales'!$D$31)/'Pesos finales'!$D$32</f>
        <v/>
      </c>
      <c r="J59" s="7">
        <f>(F59-'Pesos finales'!$E$31)/'Pesos finales'!$E$32</f>
        <v/>
      </c>
      <c r="K59" s="7">
        <f>TANH(G59*'Pesos finales'!$B$5+H59*'Pesos finales'!$B$6+I59*'Pesos finales'!$B$7+J59*'Pesos finales'!$B$8+'Pesos finales'!$B$12)</f>
        <v/>
      </c>
      <c r="L59" s="7">
        <f>TANH(G59*'Pesos finales'!$C$5+H59*'Pesos finales'!$C$6+I59*'Pesos finales'!$C$7+J59*'Pesos finales'!$C$8+'Pesos finales'!$C$12)</f>
        <v/>
      </c>
      <c r="M59" s="7">
        <f>TANH(G59*'Pesos finales'!$D$5+H59*'Pesos finales'!$D$6+I59*'Pesos finales'!$D$7+J59*'Pesos finales'!$D$8+'Pesos finales'!$D$12)</f>
        <v/>
      </c>
      <c r="N59" s="7">
        <f>TANH(G59*'Pesos finales'!$E$5+H59*'Pesos finales'!$E$6+I59*'Pesos finales'!$E$7+J59*'Pesos finales'!$E$8+'Pesos finales'!$E$12)</f>
        <v/>
      </c>
      <c r="O59" s="7">
        <f>TANH(G59*'Pesos finales'!$F$5+H59*'Pesos finales'!$F$6+I59*'Pesos finales'!$F$7+J59*'Pesos finales'!$F$8+'Pesos finales'!$F$12)</f>
        <v/>
      </c>
      <c r="P59" s="7">
        <f>TANH(G59*'Pesos finales'!$G$5+H59*'Pesos finales'!$G$6+I59*'Pesos finales'!$G$7+J59*'Pesos finales'!$G$8+'Pesos finales'!$G$12)</f>
        <v/>
      </c>
      <c r="Q59" s="7">
        <f>TANH(G59*'Pesos finales'!$H$5+H59*'Pesos finales'!$H$6+I59*'Pesos finales'!$H$7+J59*'Pesos finales'!$H$8+'Pesos finales'!$H$12)</f>
        <v/>
      </c>
      <c r="R59" s="7">
        <f>TANH(G59*'Pesos finales'!$I$5+H59*'Pesos finales'!$I$6+I59*'Pesos finales'!$I$7+J59*'Pesos finales'!$I$8+'Pesos finales'!$I$12)</f>
        <v/>
      </c>
      <c r="S59" s="7">
        <f>K59*'Pesos finales'!$B$16+L59*'Pesos finales'!$B$17+M59*'Pesos finales'!$B$18+N59*'Pesos finales'!$B$19+O59*'Pesos finales'!$B$20+P59*'Pesos finales'!$B$21+Q59*'Pesos finales'!$B$22+R59*'Pesos finales'!$B$23+'Pesos finales'!$B$27</f>
        <v/>
      </c>
      <c r="T59" s="7">
        <f>K59*'Pesos finales'!$C$16+L59*'Pesos finales'!$C$17+M59*'Pesos finales'!$C$18+N59*'Pesos finales'!$C$19+O59*'Pesos finales'!$C$20+P59*'Pesos finales'!$C$21+Q59*'Pesos finales'!$C$22+R59*'Pesos finales'!$C$23+'Pesos finales'!$C$27</f>
        <v/>
      </c>
      <c r="U59" s="7">
        <f>K59*'Pesos finales'!$D$16+L59*'Pesos finales'!$D$17+M59*'Pesos finales'!$D$18+N59*'Pesos finales'!$D$19+O59*'Pesos finales'!$D$20+P59*'Pesos finales'!$D$21+Q59*'Pesos finales'!$D$22+R59*'Pesos finales'!$D$23+'Pesos finales'!$D$27</f>
        <v/>
      </c>
      <c r="V59" s="7">
        <f>EXP(S59)/(EXP(S59)+EXP(T59)+EXP(U59))</f>
        <v/>
      </c>
      <c r="W59" s="7">
        <f>EXP(T59)/(EXP(S59)+EXP(T59)+EXP(U59))</f>
        <v/>
      </c>
      <c r="X59" s="7">
        <f>EXP(U59)/(EXP(S59)+EXP(T59)+EXP(U59))</f>
        <v/>
      </c>
      <c r="Y59">
        <f>IF(AND(V59&gt;=W59,V59&gt;=X59),"Iris-setosa",IF(AND(W59&gt;=X59),"Iris-versicolor","Iris-virginica"))</f>
        <v/>
      </c>
      <c r="Z59" t="inlineStr">
        <is>
          <t>Iris-versicolor</t>
        </is>
      </c>
      <c r="AA59">
        <f>IF(Y59=Z59,"Sí","No")</f>
        <v/>
      </c>
      <c r="AB59" s="7" t="n">
        <v>0.0003573507792175224</v>
      </c>
      <c r="AC59" s="7" t="n">
        <v>0.9856700755327447</v>
      </c>
      <c r="AD59" s="7" t="n">
        <v>0.01397257368803772</v>
      </c>
      <c r="AE59" t="inlineStr">
        <is>
          <t>Iris-versicolor</t>
        </is>
      </c>
      <c r="AF59" s="9">
        <f>MAX(ABS(V59-AB59),ABS(W59-AC59),ABS(X59-AD59))</f>
        <v/>
      </c>
      <c r="AG59">
        <f>IF(AND(Y59=AE59,AF59&lt;1E-9),"Sí","No")</f>
        <v/>
      </c>
    </row>
    <row r="60">
      <c r="A60" t="n">
        <v>54</v>
      </c>
      <c r="B60" t="inlineStr">
        <is>
          <t>entrenamiento</t>
        </is>
      </c>
      <c r="C60" t="n">
        <v>5.5</v>
      </c>
      <c r="D60" t="n">
        <v>2.3</v>
      </c>
      <c r="E60" t="n">
        <v>4</v>
      </c>
      <c r="F60" t="n">
        <v>1.3</v>
      </c>
      <c r="G60" s="7">
        <f>(C60-'Pesos finales'!$B$31)/'Pesos finales'!$B$32</f>
        <v/>
      </c>
      <c r="H60" s="7">
        <f>(D60-'Pesos finales'!$C$31)/'Pesos finales'!$C$32</f>
        <v/>
      </c>
      <c r="I60" s="7">
        <f>(E60-'Pesos finales'!$D$31)/'Pesos finales'!$D$32</f>
        <v/>
      </c>
      <c r="J60" s="7">
        <f>(F60-'Pesos finales'!$E$31)/'Pesos finales'!$E$32</f>
        <v/>
      </c>
      <c r="K60" s="7">
        <f>TANH(G60*'Pesos finales'!$B$5+H60*'Pesos finales'!$B$6+I60*'Pesos finales'!$B$7+J60*'Pesos finales'!$B$8+'Pesos finales'!$B$12)</f>
        <v/>
      </c>
      <c r="L60" s="7">
        <f>TANH(G60*'Pesos finales'!$C$5+H60*'Pesos finales'!$C$6+I60*'Pesos finales'!$C$7+J60*'Pesos finales'!$C$8+'Pesos finales'!$C$12)</f>
        <v/>
      </c>
      <c r="M60" s="7">
        <f>TANH(G60*'Pesos finales'!$D$5+H60*'Pesos finales'!$D$6+I60*'Pesos finales'!$D$7+J60*'Pesos finales'!$D$8+'Pesos finales'!$D$12)</f>
        <v/>
      </c>
      <c r="N60" s="7">
        <f>TANH(G60*'Pesos finales'!$E$5+H60*'Pesos finales'!$E$6+I60*'Pesos finales'!$E$7+J60*'Pesos finales'!$E$8+'Pesos finales'!$E$12)</f>
        <v/>
      </c>
      <c r="O60" s="7">
        <f>TANH(G60*'Pesos finales'!$F$5+H60*'Pesos finales'!$F$6+I60*'Pesos finales'!$F$7+J60*'Pesos finales'!$F$8+'Pesos finales'!$F$12)</f>
        <v/>
      </c>
      <c r="P60" s="7">
        <f>TANH(G60*'Pesos finales'!$G$5+H60*'Pesos finales'!$G$6+I60*'Pesos finales'!$G$7+J60*'Pesos finales'!$G$8+'Pesos finales'!$G$12)</f>
        <v/>
      </c>
      <c r="Q60" s="7">
        <f>TANH(G60*'Pesos finales'!$H$5+H60*'Pesos finales'!$H$6+I60*'Pesos finales'!$H$7+J60*'Pesos finales'!$H$8+'Pesos finales'!$H$12)</f>
        <v/>
      </c>
      <c r="R60" s="7">
        <f>TANH(G60*'Pesos finales'!$I$5+H60*'Pesos finales'!$I$6+I60*'Pesos finales'!$I$7+J60*'Pesos finales'!$I$8+'Pesos finales'!$I$12)</f>
        <v/>
      </c>
      <c r="S60" s="7">
        <f>K60*'Pesos finales'!$B$16+L60*'Pesos finales'!$B$17+M60*'Pesos finales'!$B$18+N60*'Pesos finales'!$B$19+O60*'Pesos finales'!$B$20+P60*'Pesos finales'!$B$21+Q60*'Pesos finales'!$B$22+R60*'Pesos finales'!$B$23+'Pesos finales'!$B$27</f>
        <v/>
      </c>
      <c r="T60" s="7">
        <f>K60*'Pesos finales'!$C$16+L60*'Pesos finales'!$C$17+M60*'Pesos finales'!$C$18+N60*'Pesos finales'!$C$19+O60*'Pesos finales'!$C$20+P60*'Pesos finales'!$C$21+Q60*'Pesos finales'!$C$22+R60*'Pesos finales'!$C$23+'Pesos finales'!$C$27</f>
        <v/>
      </c>
      <c r="U60" s="7">
        <f>K60*'Pesos finales'!$D$16+L60*'Pesos finales'!$D$17+M60*'Pesos finales'!$D$18+N60*'Pesos finales'!$D$19+O60*'Pesos finales'!$D$20+P60*'Pesos finales'!$D$21+Q60*'Pesos finales'!$D$22+R60*'Pesos finales'!$D$23+'Pesos finales'!$D$27</f>
        <v/>
      </c>
      <c r="V60" s="7">
        <f>EXP(S60)/(EXP(S60)+EXP(T60)+EXP(U60))</f>
        <v/>
      </c>
      <c r="W60" s="7">
        <f>EXP(T60)/(EXP(S60)+EXP(T60)+EXP(U60))</f>
        <v/>
      </c>
      <c r="X60" s="7">
        <f>EXP(U60)/(EXP(S60)+EXP(T60)+EXP(U60))</f>
        <v/>
      </c>
      <c r="Y60">
        <f>IF(AND(V60&gt;=W60,V60&gt;=X60),"Iris-setosa",IF(AND(W60&gt;=X60),"Iris-versicolor","Iris-virginica"))</f>
        <v/>
      </c>
      <c r="Z60" t="inlineStr">
        <is>
          <t>Iris-versicolor</t>
        </is>
      </c>
      <c r="AA60">
        <f>IF(Y60=Z60,"Sí","No")</f>
        <v/>
      </c>
      <c r="AB60" s="7" t="n">
        <v>0.0004378340781587064</v>
      </c>
      <c r="AC60" s="7" t="n">
        <v>0.996441851327856</v>
      </c>
      <c r="AD60" s="7" t="n">
        <v>0.003120314593985366</v>
      </c>
      <c r="AE60" t="inlineStr">
        <is>
          <t>Iris-versicolor</t>
        </is>
      </c>
      <c r="AF60" s="9">
        <f>MAX(ABS(V60-AB60),ABS(W60-AC60),ABS(X60-AD60))</f>
        <v/>
      </c>
      <c r="AG60">
        <f>IF(AND(Y60=AE60,AF60&lt;1E-9),"Sí","No")</f>
        <v/>
      </c>
    </row>
    <row r="61">
      <c r="A61" t="n">
        <v>55</v>
      </c>
      <c r="B61" t="inlineStr">
        <is>
          <t>entrenamiento</t>
        </is>
      </c>
      <c r="C61" t="n">
        <v>6.5</v>
      </c>
      <c r="D61" t="n">
        <v>2.8</v>
      </c>
      <c r="E61" t="n">
        <v>4.6</v>
      </c>
      <c r="F61" t="n">
        <v>1.5</v>
      </c>
      <c r="G61" s="7">
        <f>(C61-'Pesos finales'!$B$31)/'Pesos finales'!$B$32</f>
        <v/>
      </c>
      <c r="H61" s="7">
        <f>(D61-'Pesos finales'!$C$31)/'Pesos finales'!$C$32</f>
        <v/>
      </c>
      <c r="I61" s="7">
        <f>(E61-'Pesos finales'!$D$31)/'Pesos finales'!$D$32</f>
        <v/>
      </c>
      <c r="J61" s="7">
        <f>(F61-'Pesos finales'!$E$31)/'Pesos finales'!$E$32</f>
        <v/>
      </c>
      <c r="K61" s="7">
        <f>TANH(G61*'Pesos finales'!$B$5+H61*'Pesos finales'!$B$6+I61*'Pesos finales'!$B$7+J61*'Pesos finales'!$B$8+'Pesos finales'!$B$12)</f>
        <v/>
      </c>
      <c r="L61" s="7">
        <f>TANH(G61*'Pesos finales'!$C$5+H61*'Pesos finales'!$C$6+I61*'Pesos finales'!$C$7+J61*'Pesos finales'!$C$8+'Pesos finales'!$C$12)</f>
        <v/>
      </c>
      <c r="M61" s="7">
        <f>TANH(G61*'Pesos finales'!$D$5+H61*'Pesos finales'!$D$6+I61*'Pesos finales'!$D$7+J61*'Pesos finales'!$D$8+'Pesos finales'!$D$12)</f>
        <v/>
      </c>
      <c r="N61" s="7">
        <f>TANH(G61*'Pesos finales'!$E$5+H61*'Pesos finales'!$E$6+I61*'Pesos finales'!$E$7+J61*'Pesos finales'!$E$8+'Pesos finales'!$E$12)</f>
        <v/>
      </c>
      <c r="O61" s="7">
        <f>TANH(G61*'Pesos finales'!$F$5+H61*'Pesos finales'!$F$6+I61*'Pesos finales'!$F$7+J61*'Pesos finales'!$F$8+'Pesos finales'!$F$12)</f>
        <v/>
      </c>
      <c r="P61" s="7">
        <f>TANH(G61*'Pesos finales'!$G$5+H61*'Pesos finales'!$G$6+I61*'Pesos finales'!$G$7+J61*'Pesos finales'!$G$8+'Pesos finales'!$G$12)</f>
        <v/>
      </c>
      <c r="Q61" s="7">
        <f>TANH(G61*'Pesos finales'!$H$5+H61*'Pesos finales'!$H$6+I61*'Pesos finales'!$H$7+J61*'Pesos finales'!$H$8+'Pesos finales'!$H$12)</f>
        <v/>
      </c>
      <c r="R61" s="7">
        <f>TANH(G61*'Pesos finales'!$I$5+H61*'Pesos finales'!$I$6+I61*'Pesos finales'!$I$7+J61*'Pesos finales'!$I$8+'Pesos finales'!$I$12)</f>
        <v/>
      </c>
      <c r="S61" s="7">
        <f>K61*'Pesos finales'!$B$16+L61*'Pesos finales'!$B$17+M61*'Pesos finales'!$B$18+N61*'Pesos finales'!$B$19+O61*'Pesos finales'!$B$20+P61*'Pesos finales'!$B$21+Q61*'Pesos finales'!$B$22+R61*'Pesos finales'!$B$23+'Pesos finales'!$B$27</f>
        <v/>
      </c>
      <c r="T61" s="7">
        <f>K61*'Pesos finales'!$C$16+L61*'Pesos finales'!$C$17+M61*'Pesos finales'!$C$18+N61*'Pesos finales'!$C$19+O61*'Pesos finales'!$C$20+P61*'Pesos finales'!$C$21+Q61*'Pesos finales'!$C$22+R61*'Pesos finales'!$C$23+'Pesos finales'!$C$27</f>
        <v/>
      </c>
      <c r="U61" s="7">
        <f>K61*'Pesos finales'!$D$16+L61*'Pesos finales'!$D$17+M61*'Pesos finales'!$D$18+N61*'Pesos finales'!$D$19+O61*'Pesos finales'!$D$20+P61*'Pesos finales'!$D$21+Q61*'Pesos finales'!$D$22+R61*'Pesos finales'!$D$23+'Pesos finales'!$D$27</f>
        <v/>
      </c>
      <c r="V61" s="7">
        <f>EXP(S61)/(EXP(S61)+EXP(T61)+EXP(U61))</f>
        <v/>
      </c>
      <c r="W61" s="7">
        <f>EXP(T61)/(EXP(S61)+EXP(T61)+EXP(U61))</f>
        <v/>
      </c>
      <c r="X61" s="7">
        <f>EXP(U61)/(EXP(S61)+EXP(T61)+EXP(U61))</f>
        <v/>
      </c>
      <c r="Y61">
        <f>IF(AND(V61&gt;=W61,V61&gt;=X61),"Iris-setosa",IF(AND(W61&gt;=X61),"Iris-versicolor","Iris-virginica"))</f>
        <v/>
      </c>
      <c r="Z61" t="inlineStr">
        <is>
          <t>Iris-versicolor</t>
        </is>
      </c>
      <c r="AA61">
        <f>IF(Y61=Z61,"Sí","No")</f>
        <v/>
      </c>
      <c r="AB61" s="7" t="n">
        <v>0.0003195830834688606</v>
      </c>
      <c r="AC61" s="7" t="n">
        <v>0.9788402425894955</v>
      </c>
      <c r="AD61" s="7" t="n">
        <v>0.02084017432703572</v>
      </c>
      <c r="AE61" t="inlineStr">
        <is>
          <t>Iris-versicolor</t>
        </is>
      </c>
      <c r="AF61" s="9">
        <f>MAX(ABS(V61-AB61),ABS(W61-AC61),ABS(X61-AD61))</f>
        <v/>
      </c>
      <c r="AG61">
        <f>IF(AND(Y61=AE61,AF61&lt;1E-9),"Sí","No")</f>
        <v/>
      </c>
    </row>
    <row r="62">
      <c r="A62" t="n">
        <v>56</v>
      </c>
      <c r="B62" t="inlineStr">
        <is>
          <t>entrenamiento</t>
        </is>
      </c>
      <c r="C62" t="n">
        <v>5.7</v>
      </c>
      <c r="D62" t="n">
        <v>2.8</v>
      </c>
      <c r="E62" t="n">
        <v>4.5</v>
      </c>
      <c r="F62" t="n">
        <v>1.3</v>
      </c>
      <c r="G62" s="7">
        <f>(C62-'Pesos finales'!$B$31)/'Pesos finales'!$B$32</f>
        <v/>
      </c>
      <c r="H62" s="7">
        <f>(D62-'Pesos finales'!$C$31)/'Pesos finales'!$C$32</f>
        <v/>
      </c>
      <c r="I62" s="7">
        <f>(E62-'Pesos finales'!$D$31)/'Pesos finales'!$D$32</f>
        <v/>
      </c>
      <c r="J62" s="7">
        <f>(F62-'Pesos finales'!$E$31)/'Pesos finales'!$E$32</f>
        <v/>
      </c>
      <c r="K62" s="7">
        <f>TANH(G62*'Pesos finales'!$B$5+H62*'Pesos finales'!$B$6+I62*'Pesos finales'!$B$7+J62*'Pesos finales'!$B$8+'Pesos finales'!$B$12)</f>
        <v/>
      </c>
      <c r="L62" s="7">
        <f>TANH(G62*'Pesos finales'!$C$5+H62*'Pesos finales'!$C$6+I62*'Pesos finales'!$C$7+J62*'Pesos finales'!$C$8+'Pesos finales'!$C$12)</f>
        <v/>
      </c>
      <c r="M62" s="7">
        <f>TANH(G62*'Pesos finales'!$D$5+H62*'Pesos finales'!$D$6+I62*'Pesos finales'!$D$7+J62*'Pesos finales'!$D$8+'Pesos finales'!$D$12)</f>
        <v/>
      </c>
      <c r="N62" s="7">
        <f>TANH(G62*'Pesos finales'!$E$5+H62*'Pesos finales'!$E$6+I62*'Pesos finales'!$E$7+J62*'Pesos finales'!$E$8+'Pesos finales'!$E$12)</f>
        <v/>
      </c>
      <c r="O62" s="7">
        <f>TANH(G62*'Pesos finales'!$F$5+H62*'Pesos finales'!$F$6+I62*'Pesos finales'!$F$7+J62*'Pesos finales'!$F$8+'Pesos finales'!$F$12)</f>
        <v/>
      </c>
      <c r="P62" s="7">
        <f>TANH(G62*'Pesos finales'!$G$5+H62*'Pesos finales'!$G$6+I62*'Pesos finales'!$G$7+J62*'Pesos finales'!$G$8+'Pesos finales'!$G$12)</f>
        <v/>
      </c>
      <c r="Q62" s="7">
        <f>TANH(G62*'Pesos finales'!$H$5+H62*'Pesos finales'!$H$6+I62*'Pesos finales'!$H$7+J62*'Pesos finales'!$H$8+'Pesos finales'!$H$12)</f>
        <v/>
      </c>
      <c r="R62" s="7">
        <f>TANH(G62*'Pesos finales'!$I$5+H62*'Pesos finales'!$I$6+I62*'Pesos finales'!$I$7+J62*'Pesos finales'!$I$8+'Pesos finales'!$I$12)</f>
        <v/>
      </c>
      <c r="S62" s="7">
        <f>K62*'Pesos finales'!$B$16+L62*'Pesos finales'!$B$17+M62*'Pesos finales'!$B$18+N62*'Pesos finales'!$B$19+O62*'Pesos finales'!$B$20+P62*'Pesos finales'!$B$21+Q62*'Pesos finales'!$B$22+R62*'Pesos finales'!$B$23+'Pesos finales'!$B$27</f>
        <v/>
      </c>
      <c r="T62" s="7">
        <f>K62*'Pesos finales'!$C$16+L62*'Pesos finales'!$C$17+M62*'Pesos finales'!$C$18+N62*'Pesos finales'!$C$19+O62*'Pesos finales'!$C$20+P62*'Pesos finales'!$C$21+Q62*'Pesos finales'!$C$22+R62*'Pesos finales'!$C$23+'Pesos finales'!$C$27</f>
        <v/>
      </c>
      <c r="U62" s="7">
        <f>K62*'Pesos finales'!$D$16+L62*'Pesos finales'!$D$17+M62*'Pesos finales'!$D$18+N62*'Pesos finales'!$D$19+O62*'Pesos finales'!$D$20+P62*'Pesos finales'!$D$21+Q62*'Pesos finales'!$D$22+R62*'Pesos finales'!$D$23+'Pesos finales'!$D$27</f>
        <v/>
      </c>
      <c r="V62" s="7">
        <f>EXP(S62)/(EXP(S62)+EXP(T62)+EXP(U62))</f>
        <v/>
      </c>
      <c r="W62" s="7">
        <f>EXP(T62)/(EXP(S62)+EXP(T62)+EXP(U62))</f>
        <v/>
      </c>
      <c r="X62" s="7">
        <f>EXP(U62)/(EXP(S62)+EXP(T62)+EXP(U62))</f>
        <v/>
      </c>
      <c r="Y62">
        <f>IF(AND(V62&gt;=W62,V62&gt;=X62),"Iris-setosa",IF(AND(W62&gt;=X62),"Iris-versicolor","Iris-virginica"))</f>
        <v/>
      </c>
      <c r="Z62" t="inlineStr">
        <is>
          <t>Iris-versicolor</t>
        </is>
      </c>
      <c r="AA62">
        <f>IF(Y62=Z62,"Sí","No")</f>
        <v/>
      </c>
      <c r="AB62" s="7" t="n">
        <v>0.001013253620708568</v>
      </c>
      <c r="AC62" s="7" t="n">
        <v>0.9965651209133274</v>
      </c>
      <c r="AD62" s="7" t="n">
        <v>0.002421625465964185</v>
      </c>
      <c r="AE62" t="inlineStr">
        <is>
          <t>Iris-versicolor</t>
        </is>
      </c>
      <c r="AF62" s="9">
        <f>MAX(ABS(V62-AB62),ABS(W62-AC62),ABS(X62-AD62))</f>
        <v/>
      </c>
      <c r="AG62">
        <f>IF(AND(Y62=AE62,AF62&lt;1E-9),"Sí","No")</f>
        <v/>
      </c>
    </row>
    <row r="63">
      <c r="A63" t="n">
        <v>57</v>
      </c>
      <c r="B63" t="inlineStr">
        <is>
          <t>entrenamiento</t>
        </is>
      </c>
      <c r="C63" t="n">
        <v>6.3</v>
      </c>
      <c r="D63" t="n">
        <v>3.3</v>
      </c>
      <c r="E63" t="n">
        <v>4.7</v>
      </c>
      <c r="F63" t="n">
        <v>1.6</v>
      </c>
      <c r="G63" s="7">
        <f>(C63-'Pesos finales'!$B$31)/'Pesos finales'!$B$32</f>
        <v/>
      </c>
      <c r="H63" s="7">
        <f>(D63-'Pesos finales'!$C$31)/'Pesos finales'!$C$32</f>
        <v/>
      </c>
      <c r="I63" s="7">
        <f>(E63-'Pesos finales'!$D$31)/'Pesos finales'!$D$32</f>
        <v/>
      </c>
      <c r="J63" s="7">
        <f>(F63-'Pesos finales'!$E$31)/'Pesos finales'!$E$32</f>
        <v/>
      </c>
      <c r="K63" s="7">
        <f>TANH(G63*'Pesos finales'!$B$5+H63*'Pesos finales'!$B$6+I63*'Pesos finales'!$B$7+J63*'Pesos finales'!$B$8+'Pesos finales'!$B$12)</f>
        <v/>
      </c>
      <c r="L63" s="7">
        <f>TANH(G63*'Pesos finales'!$C$5+H63*'Pesos finales'!$C$6+I63*'Pesos finales'!$C$7+J63*'Pesos finales'!$C$8+'Pesos finales'!$C$12)</f>
        <v/>
      </c>
      <c r="M63" s="7">
        <f>TANH(G63*'Pesos finales'!$D$5+H63*'Pesos finales'!$D$6+I63*'Pesos finales'!$D$7+J63*'Pesos finales'!$D$8+'Pesos finales'!$D$12)</f>
        <v/>
      </c>
      <c r="N63" s="7">
        <f>TANH(G63*'Pesos finales'!$E$5+H63*'Pesos finales'!$E$6+I63*'Pesos finales'!$E$7+J63*'Pesos finales'!$E$8+'Pesos finales'!$E$12)</f>
        <v/>
      </c>
      <c r="O63" s="7">
        <f>TANH(G63*'Pesos finales'!$F$5+H63*'Pesos finales'!$F$6+I63*'Pesos finales'!$F$7+J63*'Pesos finales'!$F$8+'Pesos finales'!$F$12)</f>
        <v/>
      </c>
      <c r="P63" s="7">
        <f>TANH(G63*'Pesos finales'!$G$5+H63*'Pesos finales'!$G$6+I63*'Pesos finales'!$G$7+J63*'Pesos finales'!$G$8+'Pesos finales'!$G$12)</f>
        <v/>
      </c>
      <c r="Q63" s="7">
        <f>TANH(G63*'Pesos finales'!$H$5+H63*'Pesos finales'!$H$6+I63*'Pesos finales'!$H$7+J63*'Pesos finales'!$H$8+'Pesos finales'!$H$12)</f>
        <v/>
      </c>
      <c r="R63" s="7">
        <f>TANH(G63*'Pesos finales'!$I$5+H63*'Pesos finales'!$I$6+I63*'Pesos finales'!$I$7+J63*'Pesos finales'!$I$8+'Pesos finales'!$I$12)</f>
        <v/>
      </c>
      <c r="S63" s="7">
        <f>K63*'Pesos finales'!$B$16+L63*'Pesos finales'!$B$17+M63*'Pesos finales'!$B$18+N63*'Pesos finales'!$B$19+O63*'Pesos finales'!$B$20+P63*'Pesos finales'!$B$21+Q63*'Pesos finales'!$B$22+R63*'Pesos finales'!$B$23+'Pesos finales'!$B$27</f>
        <v/>
      </c>
      <c r="T63" s="7">
        <f>K63*'Pesos finales'!$C$16+L63*'Pesos finales'!$C$17+M63*'Pesos finales'!$C$18+N63*'Pesos finales'!$C$19+O63*'Pesos finales'!$C$20+P63*'Pesos finales'!$C$21+Q63*'Pesos finales'!$C$22+R63*'Pesos finales'!$C$23+'Pesos finales'!$C$27</f>
        <v/>
      </c>
      <c r="U63" s="7">
        <f>K63*'Pesos finales'!$D$16+L63*'Pesos finales'!$D$17+M63*'Pesos finales'!$D$18+N63*'Pesos finales'!$D$19+O63*'Pesos finales'!$D$20+P63*'Pesos finales'!$D$21+Q63*'Pesos finales'!$D$22+R63*'Pesos finales'!$D$23+'Pesos finales'!$D$27</f>
        <v/>
      </c>
      <c r="V63" s="7">
        <f>EXP(S63)/(EXP(S63)+EXP(T63)+EXP(U63))</f>
        <v/>
      </c>
      <c r="W63" s="7">
        <f>EXP(T63)/(EXP(S63)+EXP(T63)+EXP(U63))</f>
        <v/>
      </c>
      <c r="X63" s="7">
        <f>EXP(U63)/(EXP(S63)+EXP(T63)+EXP(U63))</f>
        <v/>
      </c>
      <c r="Y63">
        <f>IF(AND(V63&gt;=W63,V63&gt;=X63),"Iris-setosa",IF(AND(W63&gt;=X63),"Iris-versicolor","Iris-virginica"))</f>
        <v/>
      </c>
      <c r="Z63" t="inlineStr">
        <is>
          <t>Iris-versicolor</t>
        </is>
      </c>
      <c r="AA63">
        <f>IF(Y63=Z63,"Sí","No")</f>
        <v/>
      </c>
      <c r="AB63" s="7" t="n">
        <v>0.001132425207517002</v>
      </c>
      <c r="AC63" s="7" t="n">
        <v>0.9871342837464891</v>
      </c>
      <c r="AD63" s="7" t="n">
        <v>0.01173329104599389</v>
      </c>
      <c r="AE63" t="inlineStr">
        <is>
          <t>Iris-versicolor</t>
        </is>
      </c>
      <c r="AF63" s="9">
        <f>MAX(ABS(V63-AB63),ABS(W63-AC63),ABS(X63-AD63))</f>
        <v/>
      </c>
      <c r="AG63">
        <f>IF(AND(Y63=AE63,AF63&lt;1E-9),"Sí","No")</f>
        <v/>
      </c>
    </row>
    <row r="64">
      <c r="A64" t="n">
        <v>58</v>
      </c>
      <c r="B64" t="inlineStr">
        <is>
          <t>entrenamiento</t>
        </is>
      </c>
      <c r="C64" t="n">
        <v>4.9</v>
      </c>
      <c r="D64" t="n">
        <v>2.4</v>
      </c>
      <c r="E64" t="n">
        <v>3.3</v>
      </c>
      <c r="F64" t="n">
        <v>1</v>
      </c>
      <c r="G64" s="7">
        <f>(C64-'Pesos finales'!$B$31)/'Pesos finales'!$B$32</f>
        <v/>
      </c>
      <c r="H64" s="7">
        <f>(D64-'Pesos finales'!$C$31)/'Pesos finales'!$C$32</f>
        <v/>
      </c>
      <c r="I64" s="7">
        <f>(E64-'Pesos finales'!$D$31)/'Pesos finales'!$D$32</f>
        <v/>
      </c>
      <c r="J64" s="7">
        <f>(F64-'Pesos finales'!$E$31)/'Pesos finales'!$E$32</f>
        <v/>
      </c>
      <c r="K64" s="7">
        <f>TANH(G64*'Pesos finales'!$B$5+H64*'Pesos finales'!$B$6+I64*'Pesos finales'!$B$7+J64*'Pesos finales'!$B$8+'Pesos finales'!$B$12)</f>
        <v/>
      </c>
      <c r="L64" s="7">
        <f>TANH(G64*'Pesos finales'!$C$5+H64*'Pesos finales'!$C$6+I64*'Pesos finales'!$C$7+J64*'Pesos finales'!$C$8+'Pesos finales'!$C$12)</f>
        <v/>
      </c>
      <c r="M64" s="7">
        <f>TANH(G64*'Pesos finales'!$D$5+H64*'Pesos finales'!$D$6+I64*'Pesos finales'!$D$7+J64*'Pesos finales'!$D$8+'Pesos finales'!$D$12)</f>
        <v/>
      </c>
      <c r="N64" s="7">
        <f>TANH(G64*'Pesos finales'!$E$5+H64*'Pesos finales'!$E$6+I64*'Pesos finales'!$E$7+J64*'Pesos finales'!$E$8+'Pesos finales'!$E$12)</f>
        <v/>
      </c>
      <c r="O64" s="7">
        <f>TANH(G64*'Pesos finales'!$F$5+H64*'Pesos finales'!$F$6+I64*'Pesos finales'!$F$7+J64*'Pesos finales'!$F$8+'Pesos finales'!$F$12)</f>
        <v/>
      </c>
      <c r="P64" s="7">
        <f>TANH(G64*'Pesos finales'!$G$5+H64*'Pesos finales'!$G$6+I64*'Pesos finales'!$G$7+J64*'Pesos finales'!$G$8+'Pesos finales'!$G$12)</f>
        <v/>
      </c>
      <c r="Q64" s="7">
        <f>TANH(G64*'Pesos finales'!$H$5+H64*'Pesos finales'!$H$6+I64*'Pesos finales'!$H$7+J64*'Pesos finales'!$H$8+'Pesos finales'!$H$12)</f>
        <v/>
      </c>
      <c r="R64" s="7">
        <f>TANH(G64*'Pesos finales'!$I$5+H64*'Pesos finales'!$I$6+I64*'Pesos finales'!$I$7+J64*'Pesos finales'!$I$8+'Pesos finales'!$I$12)</f>
        <v/>
      </c>
      <c r="S64" s="7">
        <f>K64*'Pesos finales'!$B$16+L64*'Pesos finales'!$B$17+M64*'Pesos finales'!$B$18+N64*'Pesos finales'!$B$19+O64*'Pesos finales'!$B$20+P64*'Pesos finales'!$B$21+Q64*'Pesos finales'!$B$22+R64*'Pesos finales'!$B$23+'Pesos finales'!$B$27</f>
        <v/>
      </c>
      <c r="T64" s="7">
        <f>K64*'Pesos finales'!$C$16+L64*'Pesos finales'!$C$17+M64*'Pesos finales'!$C$18+N64*'Pesos finales'!$C$19+O64*'Pesos finales'!$C$20+P64*'Pesos finales'!$C$21+Q64*'Pesos finales'!$C$22+R64*'Pesos finales'!$C$23+'Pesos finales'!$C$27</f>
        <v/>
      </c>
      <c r="U64" s="7">
        <f>K64*'Pesos finales'!$D$16+L64*'Pesos finales'!$D$17+M64*'Pesos finales'!$D$18+N64*'Pesos finales'!$D$19+O64*'Pesos finales'!$D$20+P64*'Pesos finales'!$D$21+Q64*'Pesos finales'!$D$22+R64*'Pesos finales'!$D$23+'Pesos finales'!$D$27</f>
        <v/>
      </c>
      <c r="V64" s="7">
        <f>EXP(S64)/(EXP(S64)+EXP(T64)+EXP(U64))</f>
        <v/>
      </c>
      <c r="W64" s="7">
        <f>EXP(T64)/(EXP(S64)+EXP(T64)+EXP(U64))</f>
        <v/>
      </c>
      <c r="X64" s="7">
        <f>EXP(U64)/(EXP(S64)+EXP(T64)+EXP(U64))</f>
        <v/>
      </c>
      <c r="Y64">
        <f>IF(AND(V64&gt;=W64,V64&gt;=X64),"Iris-setosa",IF(AND(W64&gt;=X64),"Iris-versicolor","Iris-virginica"))</f>
        <v/>
      </c>
      <c r="Z64" t="inlineStr">
        <is>
          <t>Iris-versicolor</t>
        </is>
      </c>
      <c r="AA64">
        <f>IF(Y64=Z64,"Sí","No")</f>
        <v/>
      </c>
      <c r="AB64" s="7" t="n">
        <v>0.008101168076029971</v>
      </c>
      <c r="AC64" s="7" t="n">
        <v>0.9918559772354367</v>
      </c>
      <c r="AD64" s="7" t="n">
        <v>4.285468853334046e-05</v>
      </c>
      <c r="AE64" t="inlineStr">
        <is>
          <t>Iris-versicolor</t>
        </is>
      </c>
      <c r="AF64" s="9">
        <f>MAX(ABS(V64-AB64),ABS(W64-AC64),ABS(X64-AD64))</f>
        <v/>
      </c>
      <c r="AG64">
        <f>IF(AND(Y64=AE64,AF64&lt;1E-9),"Sí","No")</f>
        <v/>
      </c>
    </row>
    <row r="65">
      <c r="A65" t="n">
        <v>59</v>
      </c>
      <c r="B65" t="inlineStr">
        <is>
          <t>entrenamiento</t>
        </is>
      </c>
      <c r="C65" t="n">
        <v>6.6</v>
      </c>
      <c r="D65" t="n">
        <v>2.9</v>
      </c>
      <c r="E65" t="n">
        <v>4.6</v>
      </c>
      <c r="F65" t="n">
        <v>1.3</v>
      </c>
      <c r="G65" s="7">
        <f>(C65-'Pesos finales'!$B$31)/'Pesos finales'!$B$32</f>
        <v/>
      </c>
      <c r="H65" s="7">
        <f>(D65-'Pesos finales'!$C$31)/'Pesos finales'!$C$32</f>
        <v/>
      </c>
      <c r="I65" s="7">
        <f>(E65-'Pesos finales'!$D$31)/'Pesos finales'!$D$32</f>
        <v/>
      </c>
      <c r="J65" s="7">
        <f>(F65-'Pesos finales'!$E$31)/'Pesos finales'!$E$32</f>
        <v/>
      </c>
      <c r="K65" s="7">
        <f>TANH(G65*'Pesos finales'!$B$5+H65*'Pesos finales'!$B$6+I65*'Pesos finales'!$B$7+J65*'Pesos finales'!$B$8+'Pesos finales'!$B$12)</f>
        <v/>
      </c>
      <c r="L65" s="7">
        <f>TANH(G65*'Pesos finales'!$C$5+H65*'Pesos finales'!$C$6+I65*'Pesos finales'!$C$7+J65*'Pesos finales'!$C$8+'Pesos finales'!$C$12)</f>
        <v/>
      </c>
      <c r="M65" s="7">
        <f>TANH(G65*'Pesos finales'!$D$5+H65*'Pesos finales'!$D$6+I65*'Pesos finales'!$D$7+J65*'Pesos finales'!$D$8+'Pesos finales'!$D$12)</f>
        <v/>
      </c>
      <c r="N65" s="7">
        <f>TANH(G65*'Pesos finales'!$E$5+H65*'Pesos finales'!$E$6+I65*'Pesos finales'!$E$7+J65*'Pesos finales'!$E$8+'Pesos finales'!$E$12)</f>
        <v/>
      </c>
      <c r="O65" s="7">
        <f>TANH(G65*'Pesos finales'!$F$5+H65*'Pesos finales'!$F$6+I65*'Pesos finales'!$F$7+J65*'Pesos finales'!$F$8+'Pesos finales'!$F$12)</f>
        <v/>
      </c>
      <c r="P65" s="7">
        <f>TANH(G65*'Pesos finales'!$G$5+H65*'Pesos finales'!$G$6+I65*'Pesos finales'!$G$7+J65*'Pesos finales'!$G$8+'Pesos finales'!$G$12)</f>
        <v/>
      </c>
      <c r="Q65" s="7">
        <f>TANH(G65*'Pesos finales'!$H$5+H65*'Pesos finales'!$H$6+I65*'Pesos finales'!$H$7+J65*'Pesos finales'!$H$8+'Pesos finales'!$H$12)</f>
        <v/>
      </c>
      <c r="R65" s="7">
        <f>TANH(G65*'Pesos finales'!$I$5+H65*'Pesos finales'!$I$6+I65*'Pesos finales'!$I$7+J65*'Pesos finales'!$I$8+'Pesos finales'!$I$12)</f>
        <v/>
      </c>
      <c r="S65" s="7">
        <f>K65*'Pesos finales'!$B$16+L65*'Pesos finales'!$B$17+M65*'Pesos finales'!$B$18+N65*'Pesos finales'!$B$19+O65*'Pesos finales'!$B$20+P65*'Pesos finales'!$B$21+Q65*'Pesos finales'!$B$22+R65*'Pesos finales'!$B$23+'Pesos finales'!$B$27</f>
        <v/>
      </c>
      <c r="T65" s="7">
        <f>K65*'Pesos finales'!$C$16+L65*'Pesos finales'!$C$17+M65*'Pesos finales'!$C$18+N65*'Pesos finales'!$C$19+O65*'Pesos finales'!$C$20+P65*'Pesos finales'!$C$21+Q65*'Pesos finales'!$C$22+R65*'Pesos finales'!$C$23+'Pesos finales'!$C$27</f>
        <v/>
      </c>
      <c r="U65" s="7">
        <f>K65*'Pesos finales'!$D$16+L65*'Pesos finales'!$D$17+M65*'Pesos finales'!$D$18+N65*'Pesos finales'!$D$19+O65*'Pesos finales'!$D$20+P65*'Pesos finales'!$D$21+Q65*'Pesos finales'!$D$22+R65*'Pesos finales'!$D$23+'Pesos finales'!$D$27</f>
        <v/>
      </c>
      <c r="V65" s="7">
        <f>EXP(S65)/(EXP(S65)+EXP(T65)+EXP(U65))</f>
        <v/>
      </c>
      <c r="W65" s="7">
        <f>EXP(T65)/(EXP(S65)+EXP(T65)+EXP(U65))</f>
        <v/>
      </c>
      <c r="X65" s="7">
        <f>EXP(U65)/(EXP(S65)+EXP(T65)+EXP(U65))</f>
        <v/>
      </c>
      <c r="Y65">
        <f>IF(AND(V65&gt;=W65,V65&gt;=X65),"Iris-setosa",IF(AND(W65&gt;=X65),"Iris-versicolor","Iris-virginica"))</f>
        <v/>
      </c>
      <c r="Z65" t="inlineStr">
        <is>
          <t>Iris-versicolor</t>
        </is>
      </c>
      <c r="AA65">
        <f>IF(Y65=Z65,"Sí","No")</f>
        <v/>
      </c>
      <c r="AB65" s="7" t="n">
        <v>0.0004276466226530649</v>
      </c>
      <c r="AC65" s="7" t="n">
        <v>0.998080027698418</v>
      </c>
      <c r="AD65" s="7" t="n">
        <v>0.001492325678928758</v>
      </c>
      <c r="AE65" t="inlineStr">
        <is>
          <t>Iris-versicolor</t>
        </is>
      </c>
      <c r="AF65" s="9">
        <f>MAX(ABS(V65-AB65),ABS(W65-AC65),ABS(X65-AD65))</f>
        <v/>
      </c>
      <c r="AG65">
        <f>IF(AND(Y65=AE65,AF65&lt;1E-9),"Sí","No")</f>
        <v/>
      </c>
    </row>
    <row r="66">
      <c r="A66" t="n">
        <v>60</v>
      </c>
      <c r="B66" t="inlineStr">
        <is>
          <t>entrenamiento</t>
        </is>
      </c>
      <c r="C66" t="n">
        <v>5.2</v>
      </c>
      <c r="D66" t="n">
        <v>2.7</v>
      </c>
      <c r="E66" t="n">
        <v>3.9</v>
      </c>
      <c r="F66" t="n">
        <v>1.4</v>
      </c>
      <c r="G66" s="7">
        <f>(C66-'Pesos finales'!$B$31)/'Pesos finales'!$B$32</f>
        <v/>
      </c>
      <c r="H66" s="7">
        <f>(D66-'Pesos finales'!$C$31)/'Pesos finales'!$C$32</f>
        <v/>
      </c>
      <c r="I66" s="7">
        <f>(E66-'Pesos finales'!$D$31)/'Pesos finales'!$D$32</f>
        <v/>
      </c>
      <c r="J66" s="7">
        <f>(F66-'Pesos finales'!$E$31)/'Pesos finales'!$E$32</f>
        <v/>
      </c>
      <c r="K66" s="7">
        <f>TANH(G66*'Pesos finales'!$B$5+H66*'Pesos finales'!$B$6+I66*'Pesos finales'!$B$7+J66*'Pesos finales'!$B$8+'Pesos finales'!$B$12)</f>
        <v/>
      </c>
      <c r="L66" s="7">
        <f>TANH(G66*'Pesos finales'!$C$5+H66*'Pesos finales'!$C$6+I66*'Pesos finales'!$C$7+J66*'Pesos finales'!$C$8+'Pesos finales'!$C$12)</f>
        <v/>
      </c>
      <c r="M66" s="7">
        <f>TANH(G66*'Pesos finales'!$D$5+H66*'Pesos finales'!$D$6+I66*'Pesos finales'!$D$7+J66*'Pesos finales'!$D$8+'Pesos finales'!$D$12)</f>
        <v/>
      </c>
      <c r="N66" s="7">
        <f>TANH(G66*'Pesos finales'!$E$5+H66*'Pesos finales'!$E$6+I66*'Pesos finales'!$E$7+J66*'Pesos finales'!$E$8+'Pesos finales'!$E$12)</f>
        <v/>
      </c>
      <c r="O66" s="7">
        <f>TANH(G66*'Pesos finales'!$F$5+H66*'Pesos finales'!$F$6+I66*'Pesos finales'!$F$7+J66*'Pesos finales'!$F$8+'Pesos finales'!$F$12)</f>
        <v/>
      </c>
      <c r="P66" s="7">
        <f>TANH(G66*'Pesos finales'!$G$5+H66*'Pesos finales'!$G$6+I66*'Pesos finales'!$G$7+J66*'Pesos finales'!$G$8+'Pesos finales'!$G$12)</f>
        <v/>
      </c>
      <c r="Q66" s="7">
        <f>TANH(G66*'Pesos finales'!$H$5+H66*'Pesos finales'!$H$6+I66*'Pesos finales'!$H$7+J66*'Pesos finales'!$H$8+'Pesos finales'!$H$12)</f>
        <v/>
      </c>
      <c r="R66" s="7">
        <f>TANH(G66*'Pesos finales'!$I$5+H66*'Pesos finales'!$I$6+I66*'Pesos finales'!$I$7+J66*'Pesos finales'!$I$8+'Pesos finales'!$I$12)</f>
        <v/>
      </c>
      <c r="S66" s="7">
        <f>K66*'Pesos finales'!$B$16+L66*'Pesos finales'!$B$17+M66*'Pesos finales'!$B$18+N66*'Pesos finales'!$B$19+O66*'Pesos finales'!$B$20+P66*'Pesos finales'!$B$21+Q66*'Pesos finales'!$B$22+R66*'Pesos finales'!$B$23+'Pesos finales'!$B$27</f>
        <v/>
      </c>
      <c r="T66" s="7">
        <f>K66*'Pesos finales'!$C$16+L66*'Pesos finales'!$C$17+M66*'Pesos finales'!$C$18+N66*'Pesos finales'!$C$19+O66*'Pesos finales'!$C$20+P66*'Pesos finales'!$C$21+Q66*'Pesos finales'!$C$22+R66*'Pesos finales'!$C$23+'Pesos finales'!$C$27</f>
        <v/>
      </c>
      <c r="U66" s="7">
        <f>K66*'Pesos finales'!$D$16+L66*'Pesos finales'!$D$17+M66*'Pesos finales'!$D$18+N66*'Pesos finales'!$D$19+O66*'Pesos finales'!$D$20+P66*'Pesos finales'!$D$21+Q66*'Pesos finales'!$D$22+R66*'Pesos finales'!$D$23+'Pesos finales'!$D$27</f>
        <v/>
      </c>
      <c r="V66" s="7">
        <f>EXP(S66)/(EXP(S66)+EXP(T66)+EXP(U66))</f>
        <v/>
      </c>
      <c r="W66" s="7">
        <f>EXP(T66)/(EXP(S66)+EXP(T66)+EXP(U66))</f>
        <v/>
      </c>
      <c r="X66" s="7">
        <f>EXP(U66)/(EXP(S66)+EXP(T66)+EXP(U66))</f>
        <v/>
      </c>
      <c r="Y66">
        <f>IF(AND(V66&gt;=W66,V66&gt;=X66),"Iris-setosa",IF(AND(W66&gt;=X66),"Iris-versicolor","Iris-virginica"))</f>
        <v/>
      </c>
      <c r="Z66" t="inlineStr">
        <is>
          <t>Iris-versicolor</t>
        </is>
      </c>
      <c r="AA66">
        <f>IF(Y66=Z66,"Sí","No")</f>
        <v/>
      </c>
      <c r="AB66" s="7" t="n">
        <v>0.002412917053118855</v>
      </c>
      <c r="AC66" s="7" t="n">
        <v>0.9960504901676323</v>
      </c>
      <c r="AD66" s="7" t="n">
        <v>0.001536592779249041</v>
      </c>
      <c r="AE66" t="inlineStr">
        <is>
          <t>Iris-versicolor</t>
        </is>
      </c>
      <c r="AF66" s="9">
        <f>MAX(ABS(V66-AB66),ABS(W66-AC66),ABS(X66-AD66))</f>
        <v/>
      </c>
      <c r="AG66">
        <f>IF(AND(Y66=AE66,AF66&lt;1E-9),"Sí","No")</f>
        <v/>
      </c>
    </row>
    <row r="67">
      <c r="A67" t="n">
        <v>61</v>
      </c>
      <c r="B67" t="inlineStr">
        <is>
          <t>entrenamiento</t>
        </is>
      </c>
      <c r="C67" t="n">
        <v>5</v>
      </c>
      <c r="D67" t="n">
        <v>2</v>
      </c>
      <c r="E67" t="n">
        <v>3.5</v>
      </c>
      <c r="F67" t="n">
        <v>1</v>
      </c>
      <c r="G67" s="7">
        <f>(C67-'Pesos finales'!$B$31)/'Pesos finales'!$B$32</f>
        <v/>
      </c>
      <c r="H67" s="7">
        <f>(D67-'Pesos finales'!$C$31)/'Pesos finales'!$C$32</f>
        <v/>
      </c>
      <c r="I67" s="7">
        <f>(E67-'Pesos finales'!$D$31)/'Pesos finales'!$D$32</f>
        <v/>
      </c>
      <c r="J67" s="7">
        <f>(F67-'Pesos finales'!$E$31)/'Pesos finales'!$E$32</f>
        <v/>
      </c>
      <c r="K67" s="7">
        <f>TANH(G67*'Pesos finales'!$B$5+H67*'Pesos finales'!$B$6+I67*'Pesos finales'!$B$7+J67*'Pesos finales'!$B$8+'Pesos finales'!$B$12)</f>
        <v/>
      </c>
      <c r="L67" s="7">
        <f>TANH(G67*'Pesos finales'!$C$5+H67*'Pesos finales'!$C$6+I67*'Pesos finales'!$C$7+J67*'Pesos finales'!$C$8+'Pesos finales'!$C$12)</f>
        <v/>
      </c>
      <c r="M67" s="7">
        <f>TANH(G67*'Pesos finales'!$D$5+H67*'Pesos finales'!$D$6+I67*'Pesos finales'!$D$7+J67*'Pesos finales'!$D$8+'Pesos finales'!$D$12)</f>
        <v/>
      </c>
      <c r="N67" s="7">
        <f>TANH(G67*'Pesos finales'!$E$5+H67*'Pesos finales'!$E$6+I67*'Pesos finales'!$E$7+J67*'Pesos finales'!$E$8+'Pesos finales'!$E$12)</f>
        <v/>
      </c>
      <c r="O67" s="7">
        <f>TANH(G67*'Pesos finales'!$F$5+H67*'Pesos finales'!$F$6+I67*'Pesos finales'!$F$7+J67*'Pesos finales'!$F$8+'Pesos finales'!$F$12)</f>
        <v/>
      </c>
      <c r="P67" s="7">
        <f>TANH(G67*'Pesos finales'!$G$5+H67*'Pesos finales'!$G$6+I67*'Pesos finales'!$G$7+J67*'Pesos finales'!$G$8+'Pesos finales'!$G$12)</f>
        <v/>
      </c>
      <c r="Q67" s="7">
        <f>TANH(G67*'Pesos finales'!$H$5+H67*'Pesos finales'!$H$6+I67*'Pesos finales'!$H$7+J67*'Pesos finales'!$H$8+'Pesos finales'!$H$12)</f>
        <v/>
      </c>
      <c r="R67" s="7">
        <f>TANH(G67*'Pesos finales'!$I$5+H67*'Pesos finales'!$I$6+I67*'Pesos finales'!$I$7+J67*'Pesos finales'!$I$8+'Pesos finales'!$I$12)</f>
        <v/>
      </c>
      <c r="S67" s="7">
        <f>K67*'Pesos finales'!$B$16+L67*'Pesos finales'!$B$17+M67*'Pesos finales'!$B$18+N67*'Pesos finales'!$B$19+O67*'Pesos finales'!$B$20+P67*'Pesos finales'!$B$21+Q67*'Pesos finales'!$B$22+R67*'Pesos finales'!$B$23+'Pesos finales'!$B$27</f>
        <v/>
      </c>
      <c r="T67" s="7">
        <f>K67*'Pesos finales'!$C$16+L67*'Pesos finales'!$C$17+M67*'Pesos finales'!$C$18+N67*'Pesos finales'!$C$19+O67*'Pesos finales'!$C$20+P67*'Pesos finales'!$C$21+Q67*'Pesos finales'!$C$22+R67*'Pesos finales'!$C$23+'Pesos finales'!$C$27</f>
        <v/>
      </c>
      <c r="U67" s="7">
        <f>K67*'Pesos finales'!$D$16+L67*'Pesos finales'!$D$17+M67*'Pesos finales'!$D$18+N67*'Pesos finales'!$D$19+O67*'Pesos finales'!$D$20+P67*'Pesos finales'!$D$21+Q67*'Pesos finales'!$D$22+R67*'Pesos finales'!$D$23+'Pesos finales'!$D$27</f>
        <v/>
      </c>
      <c r="V67" s="7">
        <f>EXP(S67)/(EXP(S67)+EXP(T67)+EXP(U67))</f>
        <v/>
      </c>
      <c r="W67" s="7">
        <f>EXP(T67)/(EXP(S67)+EXP(T67)+EXP(U67))</f>
        <v/>
      </c>
      <c r="X67" s="7">
        <f>EXP(U67)/(EXP(S67)+EXP(T67)+EXP(U67))</f>
        <v/>
      </c>
      <c r="Y67">
        <f>IF(AND(V67&gt;=W67,V67&gt;=X67),"Iris-setosa",IF(AND(W67&gt;=X67),"Iris-versicolor","Iris-virginica"))</f>
        <v/>
      </c>
      <c r="Z67" t="inlineStr">
        <is>
          <t>Iris-versicolor</t>
        </is>
      </c>
      <c r="AA67">
        <f>IF(Y67=Z67,"Sí","No")</f>
        <v/>
      </c>
      <c r="AB67" s="7" t="n">
        <v>0.0007662873799672204</v>
      </c>
      <c r="AC67" s="7" t="n">
        <v>0.9990999676907649</v>
      </c>
      <c r="AD67" s="7" t="n">
        <v>0.0001337449292677443</v>
      </c>
      <c r="AE67" t="inlineStr">
        <is>
          <t>Iris-versicolor</t>
        </is>
      </c>
      <c r="AF67" s="9">
        <f>MAX(ABS(V67-AB67),ABS(W67-AC67),ABS(X67-AD67))</f>
        <v/>
      </c>
      <c r="AG67">
        <f>IF(AND(Y67=AE67,AF67&lt;1E-9),"Sí","No")</f>
        <v/>
      </c>
    </row>
    <row r="68">
      <c r="A68" t="n">
        <v>62</v>
      </c>
      <c r="B68" t="inlineStr">
        <is>
          <t>prueba</t>
        </is>
      </c>
      <c r="C68" t="n">
        <v>5.9</v>
      </c>
      <c r="D68" t="n">
        <v>3</v>
      </c>
      <c r="E68" t="n">
        <v>4.2</v>
      </c>
      <c r="F68" t="n">
        <v>1.5</v>
      </c>
      <c r="G68" s="7">
        <f>(C68-'Pesos finales'!$B$31)/'Pesos finales'!$B$32</f>
        <v/>
      </c>
      <c r="H68" s="7">
        <f>(D68-'Pesos finales'!$C$31)/'Pesos finales'!$C$32</f>
        <v/>
      </c>
      <c r="I68" s="7">
        <f>(E68-'Pesos finales'!$D$31)/'Pesos finales'!$D$32</f>
        <v/>
      </c>
      <c r="J68" s="7">
        <f>(F68-'Pesos finales'!$E$31)/'Pesos finales'!$E$32</f>
        <v/>
      </c>
      <c r="K68" s="7">
        <f>TANH(G68*'Pesos finales'!$B$5+H68*'Pesos finales'!$B$6+I68*'Pesos finales'!$B$7+J68*'Pesos finales'!$B$8+'Pesos finales'!$B$12)</f>
        <v/>
      </c>
      <c r="L68" s="7">
        <f>TANH(G68*'Pesos finales'!$C$5+H68*'Pesos finales'!$C$6+I68*'Pesos finales'!$C$7+J68*'Pesos finales'!$C$8+'Pesos finales'!$C$12)</f>
        <v/>
      </c>
      <c r="M68" s="7">
        <f>TANH(G68*'Pesos finales'!$D$5+H68*'Pesos finales'!$D$6+I68*'Pesos finales'!$D$7+J68*'Pesos finales'!$D$8+'Pesos finales'!$D$12)</f>
        <v/>
      </c>
      <c r="N68" s="7">
        <f>TANH(G68*'Pesos finales'!$E$5+H68*'Pesos finales'!$E$6+I68*'Pesos finales'!$E$7+J68*'Pesos finales'!$E$8+'Pesos finales'!$E$12)</f>
        <v/>
      </c>
      <c r="O68" s="7">
        <f>TANH(G68*'Pesos finales'!$F$5+H68*'Pesos finales'!$F$6+I68*'Pesos finales'!$F$7+J68*'Pesos finales'!$F$8+'Pesos finales'!$F$12)</f>
        <v/>
      </c>
      <c r="P68" s="7">
        <f>TANH(G68*'Pesos finales'!$G$5+H68*'Pesos finales'!$G$6+I68*'Pesos finales'!$G$7+J68*'Pesos finales'!$G$8+'Pesos finales'!$G$12)</f>
        <v/>
      </c>
      <c r="Q68" s="7">
        <f>TANH(G68*'Pesos finales'!$H$5+H68*'Pesos finales'!$H$6+I68*'Pesos finales'!$H$7+J68*'Pesos finales'!$H$8+'Pesos finales'!$H$12)</f>
        <v/>
      </c>
      <c r="R68" s="7">
        <f>TANH(G68*'Pesos finales'!$I$5+H68*'Pesos finales'!$I$6+I68*'Pesos finales'!$I$7+J68*'Pesos finales'!$I$8+'Pesos finales'!$I$12)</f>
        <v/>
      </c>
      <c r="S68" s="7">
        <f>K68*'Pesos finales'!$B$16+L68*'Pesos finales'!$B$17+M68*'Pesos finales'!$B$18+N68*'Pesos finales'!$B$19+O68*'Pesos finales'!$B$20+P68*'Pesos finales'!$B$21+Q68*'Pesos finales'!$B$22+R68*'Pesos finales'!$B$23+'Pesos finales'!$B$27</f>
        <v/>
      </c>
      <c r="T68" s="7">
        <f>K68*'Pesos finales'!$C$16+L68*'Pesos finales'!$C$17+M68*'Pesos finales'!$C$18+N68*'Pesos finales'!$C$19+O68*'Pesos finales'!$C$20+P68*'Pesos finales'!$C$21+Q68*'Pesos finales'!$C$22+R68*'Pesos finales'!$C$23+'Pesos finales'!$C$27</f>
        <v/>
      </c>
      <c r="U68" s="7">
        <f>K68*'Pesos finales'!$D$16+L68*'Pesos finales'!$D$17+M68*'Pesos finales'!$D$18+N68*'Pesos finales'!$D$19+O68*'Pesos finales'!$D$20+P68*'Pesos finales'!$D$21+Q68*'Pesos finales'!$D$22+R68*'Pesos finales'!$D$23+'Pesos finales'!$D$27</f>
        <v/>
      </c>
      <c r="V68" s="7">
        <f>EXP(S68)/(EXP(S68)+EXP(T68)+EXP(U68))</f>
        <v/>
      </c>
      <c r="W68" s="7">
        <f>EXP(T68)/(EXP(S68)+EXP(T68)+EXP(U68))</f>
        <v/>
      </c>
      <c r="X68" s="7">
        <f>EXP(U68)/(EXP(S68)+EXP(T68)+EXP(U68))</f>
        <v/>
      </c>
      <c r="Y68">
        <f>IF(AND(V68&gt;=W68,V68&gt;=X68),"Iris-setosa",IF(AND(W68&gt;=X68),"Iris-versicolor","Iris-virginica"))</f>
        <v/>
      </c>
      <c r="Z68" t="inlineStr">
        <is>
          <t>Iris-versicolor</t>
        </is>
      </c>
      <c r="AA68">
        <f>IF(Y68=Z68,"Sí","No")</f>
        <v/>
      </c>
      <c r="AB68" s="7" t="n">
        <v>0.001268819456814197</v>
      </c>
      <c r="AC68" s="7" t="n">
        <v>0.9965283974415485</v>
      </c>
      <c r="AD68" s="7" t="n">
        <v>0.002202783101637366</v>
      </c>
      <c r="AE68" t="inlineStr">
        <is>
          <t>Iris-versicolor</t>
        </is>
      </c>
      <c r="AF68" s="9">
        <f>MAX(ABS(V68-AB68),ABS(W68-AC68),ABS(X68-AD68))</f>
        <v/>
      </c>
      <c r="AG68">
        <f>IF(AND(Y68=AE68,AF68&lt;1E-9),"Sí","No")</f>
        <v/>
      </c>
    </row>
    <row r="69">
      <c r="A69" t="n">
        <v>63</v>
      </c>
      <c r="B69" t="inlineStr">
        <is>
          <t>entrenamiento</t>
        </is>
      </c>
      <c r="C69" t="n">
        <v>6</v>
      </c>
      <c r="D69" t="n">
        <v>2.2</v>
      </c>
      <c r="E69" t="n">
        <v>4</v>
      </c>
      <c r="F69" t="n">
        <v>1</v>
      </c>
      <c r="G69" s="7">
        <f>(C69-'Pesos finales'!$B$31)/'Pesos finales'!$B$32</f>
        <v/>
      </c>
      <c r="H69" s="7">
        <f>(D69-'Pesos finales'!$C$31)/'Pesos finales'!$C$32</f>
        <v/>
      </c>
      <c r="I69" s="7">
        <f>(E69-'Pesos finales'!$D$31)/'Pesos finales'!$D$32</f>
        <v/>
      </c>
      <c r="J69" s="7">
        <f>(F69-'Pesos finales'!$E$31)/'Pesos finales'!$E$32</f>
        <v/>
      </c>
      <c r="K69" s="7">
        <f>TANH(G69*'Pesos finales'!$B$5+H69*'Pesos finales'!$B$6+I69*'Pesos finales'!$B$7+J69*'Pesos finales'!$B$8+'Pesos finales'!$B$12)</f>
        <v/>
      </c>
      <c r="L69" s="7">
        <f>TANH(G69*'Pesos finales'!$C$5+H69*'Pesos finales'!$C$6+I69*'Pesos finales'!$C$7+J69*'Pesos finales'!$C$8+'Pesos finales'!$C$12)</f>
        <v/>
      </c>
      <c r="M69" s="7">
        <f>TANH(G69*'Pesos finales'!$D$5+H69*'Pesos finales'!$D$6+I69*'Pesos finales'!$D$7+J69*'Pesos finales'!$D$8+'Pesos finales'!$D$12)</f>
        <v/>
      </c>
      <c r="N69" s="7">
        <f>TANH(G69*'Pesos finales'!$E$5+H69*'Pesos finales'!$E$6+I69*'Pesos finales'!$E$7+J69*'Pesos finales'!$E$8+'Pesos finales'!$E$12)</f>
        <v/>
      </c>
      <c r="O69" s="7">
        <f>TANH(G69*'Pesos finales'!$F$5+H69*'Pesos finales'!$F$6+I69*'Pesos finales'!$F$7+J69*'Pesos finales'!$F$8+'Pesos finales'!$F$12)</f>
        <v/>
      </c>
      <c r="P69" s="7">
        <f>TANH(G69*'Pesos finales'!$G$5+H69*'Pesos finales'!$G$6+I69*'Pesos finales'!$G$7+J69*'Pesos finales'!$G$8+'Pesos finales'!$G$12)</f>
        <v/>
      </c>
      <c r="Q69" s="7">
        <f>TANH(G69*'Pesos finales'!$H$5+H69*'Pesos finales'!$H$6+I69*'Pesos finales'!$H$7+J69*'Pesos finales'!$H$8+'Pesos finales'!$H$12)</f>
        <v/>
      </c>
      <c r="R69" s="7">
        <f>TANH(G69*'Pesos finales'!$I$5+H69*'Pesos finales'!$I$6+I69*'Pesos finales'!$I$7+J69*'Pesos finales'!$I$8+'Pesos finales'!$I$12)</f>
        <v/>
      </c>
      <c r="S69" s="7">
        <f>K69*'Pesos finales'!$B$16+L69*'Pesos finales'!$B$17+M69*'Pesos finales'!$B$18+N69*'Pesos finales'!$B$19+O69*'Pesos finales'!$B$20+P69*'Pesos finales'!$B$21+Q69*'Pesos finales'!$B$22+R69*'Pesos finales'!$B$23+'Pesos finales'!$B$27</f>
        <v/>
      </c>
      <c r="T69" s="7">
        <f>K69*'Pesos finales'!$C$16+L69*'Pesos finales'!$C$17+M69*'Pesos finales'!$C$18+N69*'Pesos finales'!$C$19+O69*'Pesos finales'!$C$20+P69*'Pesos finales'!$C$21+Q69*'Pesos finales'!$C$22+R69*'Pesos finales'!$C$23+'Pesos finales'!$C$27</f>
        <v/>
      </c>
      <c r="U69" s="7">
        <f>K69*'Pesos finales'!$D$16+L69*'Pesos finales'!$D$17+M69*'Pesos finales'!$D$18+N69*'Pesos finales'!$D$19+O69*'Pesos finales'!$D$20+P69*'Pesos finales'!$D$21+Q69*'Pesos finales'!$D$22+R69*'Pesos finales'!$D$23+'Pesos finales'!$D$27</f>
        <v/>
      </c>
      <c r="V69" s="7">
        <f>EXP(S69)/(EXP(S69)+EXP(T69)+EXP(U69))</f>
        <v/>
      </c>
      <c r="W69" s="7">
        <f>EXP(T69)/(EXP(S69)+EXP(T69)+EXP(U69))</f>
        <v/>
      </c>
      <c r="X69" s="7">
        <f>EXP(U69)/(EXP(S69)+EXP(T69)+EXP(U69))</f>
        <v/>
      </c>
      <c r="Y69">
        <f>IF(AND(V69&gt;=W69,V69&gt;=X69),"Iris-setosa",IF(AND(W69&gt;=X69),"Iris-versicolor","Iris-virginica"))</f>
        <v/>
      </c>
      <c r="Z69" t="inlineStr">
        <is>
          <t>Iris-versicolor</t>
        </is>
      </c>
      <c r="AA69">
        <f>IF(Y69=Z69,"Sí","No")</f>
        <v/>
      </c>
      <c r="AB69" s="7" t="n">
        <v>0.0003820108218687343</v>
      </c>
      <c r="AC69" s="7" t="n">
        <v>0.99924006167348</v>
      </c>
      <c r="AD69" s="7" t="n">
        <v>0.0003779275046512936</v>
      </c>
      <c r="AE69" t="inlineStr">
        <is>
          <t>Iris-versicolor</t>
        </is>
      </c>
      <c r="AF69" s="9">
        <f>MAX(ABS(V69-AB69),ABS(W69-AC69),ABS(X69-AD69))</f>
        <v/>
      </c>
      <c r="AG69">
        <f>IF(AND(Y69=AE69,AF69&lt;1E-9),"Sí","No")</f>
        <v/>
      </c>
    </row>
    <row r="70">
      <c r="A70" t="n">
        <v>64</v>
      </c>
      <c r="B70" t="inlineStr">
        <is>
          <t>entrenamiento</t>
        </is>
      </c>
      <c r="C70" t="n">
        <v>6.1</v>
      </c>
      <c r="D70" t="n">
        <v>2.9</v>
      </c>
      <c r="E70" t="n">
        <v>4.7</v>
      </c>
      <c r="F70" t="n">
        <v>1.4</v>
      </c>
      <c r="G70" s="7">
        <f>(C70-'Pesos finales'!$B$31)/'Pesos finales'!$B$32</f>
        <v/>
      </c>
      <c r="H70" s="7">
        <f>(D70-'Pesos finales'!$C$31)/'Pesos finales'!$C$32</f>
        <v/>
      </c>
      <c r="I70" s="7">
        <f>(E70-'Pesos finales'!$D$31)/'Pesos finales'!$D$32</f>
        <v/>
      </c>
      <c r="J70" s="7">
        <f>(F70-'Pesos finales'!$E$31)/'Pesos finales'!$E$32</f>
        <v/>
      </c>
      <c r="K70" s="7">
        <f>TANH(G70*'Pesos finales'!$B$5+H70*'Pesos finales'!$B$6+I70*'Pesos finales'!$B$7+J70*'Pesos finales'!$B$8+'Pesos finales'!$B$12)</f>
        <v/>
      </c>
      <c r="L70" s="7">
        <f>TANH(G70*'Pesos finales'!$C$5+H70*'Pesos finales'!$C$6+I70*'Pesos finales'!$C$7+J70*'Pesos finales'!$C$8+'Pesos finales'!$C$12)</f>
        <v/>
      </c>
      <c r="M70" s="7">
        <f>TANH(G70*'Pesos finales'!$D$5+H70*'Pesos finales'!$D$6+I70*'Pesos finales'!$D$7+J70*'Pesos finales'!$D$8+'Pesos finales'!$D$12)</f>
        <v/>
      </c>
      <c r="N70" s="7">
        <f>TANH(G70*'Pesos finales'!$E$5+H70*'Pesos finales'!$E$6+I70*'Pesos finales'!$E$7+J70*'Pesos finales'!$E$8+'Pesos finales'!$E$12)</f>
        <v/>
      </c>
      <c r="O70" s="7">
        <f>TANH(G70*'Pesos finales'!$F$5+H70*'Pesos finales'!$F$6+I70*'Pesos finales'!$F$7+J70*'Pesos finales'!$F$8+'Pesos finales'!$F$12)</f>
        <v/>
      </c>
      <c r="P70" s="7">
        <f>TANH(G70*'Pesos finales'!$G$5+H70*'Pesos finales'!$G$6+I70*'Pesos finales'!$G$7+J70*'Pesos finales'!$G$8+'Pesos finales'!$G$12)</f>
        <v/>
      </c>
      <c r="Q70" s="7">
        <f>TANH(G70*'Pesos finales'!$H$5+H70*'Pesos finales'!$H$6+I70*'Pesos finales'!$H$7+J70*'Pesos finales'!$H$8+'Pesos finales'!$H$12)</f>
        <v/>
      </c>
      <c r="R70" s="7">
        <f>TANH(G70*'Pesos finales'!$I$5+H70*'Pesos finales'!$I$6+I70*'Pesos finales'!$I$7+J70*'Pesos finales'!$I$8+'Pesos finales'!$I$12)</f>
        <v/>
      </c>
      <c r="S70" s="7">
        <f>K70*'Pesos finales'!$B$16+L70*'Pesos finales'!$B$17+M70*'Pesos finales'!$B$18+N70*'Pesos finales'!$B$19+O70*'Pesos finales'!$B$20+P70*'Pesos finales'!$B$21+Q70*'Pesos finales'!$B$22+R70*'Pesos finales'!$B$23+'Pesos finales'!$B$27</f>
        <v/>
      </c>
      <c r="T70" s="7">
        <f>K70*'Pesos finales'!$C$16+L70*'Pesos finales'!$C$17+M70*'Pesos finales'!$C$18+N70*'Pesos finales'!$C$19+O70*'Pesos finales'!$C$20+P70*'Pesos finales'!$C$21+Q70*'Pesos finales'!$C$22+R70*'Pesos finales'!$C$23+'Pesos finales'!$C$27</f>
        <v/>
      </c>
      <c r="U70" s="7">
        <f>K70*'Pesos finales'!$D$16+L70*'Pesos finales'!$D$17+M70*'Pesos finales'!$D$18+N70*'Pesos finales'!$D$19+O70*'Pesos finales'!$D$20+P70*'Pesos finales'!$D$21+Q70*'Pesos finales'!$D$22+R70*'Pesos finales'!$D$23+'Pesos finales'!$D$27</f>
        <v/>
      </c>
      <c r="V70" s="7">
        <f>EXP(S70)/(EXP(S70)+EXP(T70)+EXP(U70))</f>
        <v/>
      </c>
      <c r="W70" s="7">
        <f>EXP(T70)/(EXP(S70)+EXP(T70)+EXP(U70))</f>
        <v/>
      </c>
      <c r="X70" s="7">
        <f>EXP(U70)/(EXP(S70)+EXP(T70)+EXP(U70))</f>
        <v/>
      </c>
      <c r="Y70">
        <f>IF(AND(V70&gt;=W70,V70&gt;=X70),"Iris-setosa",IF(AND(W70&gt;=X70),"Iris-versicolor","Iris-virginica"))</f>
        <v/>
      </c>
      <c r="Z70" t="inlineStr">
        <is>
          <t>Iris-versicolor</t>
        </is>
      </c>
      <c r="AA70">
        <f>IF(Y70=Z70,"Sí","No")</f>
        <v/>
      </c>
      <c r="AB70" s="7" t="n">
        <v>0.0006224608493821174</v>
      </c>
      <c r="AC70" s="7" t="n">
        <v>0.9904986325800191</v>
      </c>
      <c r="AD70" s="7" t="n">
        <v>0.008878906570598732</v>
      </c>
      <c r="AE70" t="inlineStr">
        <is>
          <t>Iris-versicolor</t>
        </is>
      </c>
      <c r="AF70" s="9">
        <f>MAX(ABS(V70-AB70),ABS(W70-AC70),ABS(X70-AD70))</f>
        <v/>
      </c>
      <c r="AG70">
        <f>IF(AND(Y70=AE70,AF70&lt;1E-9),"Sí","No")</f>
        <v/>
      </c>
    </row>
    <row r="71">
      <c r="A71" t="n">
        <v>65</v>
      </c>
      <c r="B71" t="inlineStr">
        <is>
          <t>entrenamiento</t>
        </is>
      </c>
      <c r="C71" t="n">
        <v>5.6</v>
      </c>
      <c r="D71" t="n">
        <v>2.9</v>
      </c>
      <c r="E71" t="n">
        <v>3.6</v>
      </c>
      <c r="F71" t="n">
        <v>1.3</v>
      </c>
      <c r="G71" s="7">
        <f>(C71-'Pesos finales'!$B$31)/'Pesos finales'!$B$32</f>
        <v/>
      </c>
      <c r="H71" s="7">
        <f>(D71-'Pesos finales'!$C$31)/'Pesos finales'!$C$32</f>
        <v/>
      </c>
      <c r="I71" s="7">
        <f>(E71-'Pesos finales'!$D$31)/'Pesos finales'!$D$32</f>
        <v/>
      </c>
      <c r="J71" s="7">
        <f>(F71-'Pesos finales'!$E$31)/'Pesos finales'!$E$32</f>
        <v/>
      </c>
      <c r="K71" s="7">
        <f>TANH(G71*'Pesos finales'!$B$5+H71*'Pesos finales'!$B$6+I71*'Pesos finales'!$B$7+J71*'Pesos finales'!$B$8+'Pesos finales'!$B$12)</f>
        <v/>
      </c>
      <c r="L71" s="7">
        <f>TANH(G71*'Pesos finales'!$C$5+H71*'Pesos finales'!$C$6+I71*'Pesos finales'!$C$7+J71*'Pesos finales'!$C$8+'Pesos finales'!$C$12)</f>
        <v/>
      </c>
      <c r="M71" s="7">
        <f>TANH(G71*'Pesos finales'!$D$5+H71*'Pesos finales'!$D$6+I71*'Pesos finales'!$D$7+J71*'Pesos finales'!$D$8+'Pesos finales'!$D$12)</f>
        <v/>
      </c>
      <c r="N71" s="7">
        <f>TANH(G71*'Pesos finales'!$E$5+H71*'Pesos finales'!$E$6+I71*'Pesos finales'!$E$7+J71*'Pesos finales'!$E$8+'Pesos finales'!$E$12)</f>
        <v/>
      </c>
      <c r="O71" s="7">
        <f>TANH(G71*'Pesos finales'!$F$5+H71*'Pesos finales'!$F$6+I71*'Pesos finales'!$F$7+J71*'Pesos finales'!$F$8+'Pesos finales'!$F$12)</f>
        <v/>
      </c>
      <c r="P71" s="7">
        <f>TANH(G71*'Pesos finales'!$G$5+H71*'Pesos finales'!$G$6+I71*'Pesos finales'!$G$7+J71*'Pesos finales'!$G$8+'Pesos finales'!$G$12)</f>
        <v/>
      </c>
      <c r="Q71" s="7">
        <f>TANH(G71*'Pesos finales'!$H$5+H71*'Pesos finales'!$H$6+I71*'Pesos finales'!$H$7+J71*'Pesos finales'!$H$8+'Pesos finales'!$H$12)</f>
        <v/>
      </c>
      <c r="R71" s="7">
        <f>TANH(G71*'Pesos finales'!$I$5+H71*'Pesos finales'!$I$6+I71*'Pesos finales'!$I$7+J71*'Pesos finales'!$I$8+'Pesos finales'!$I$12)</f>
        <v/>
      </c>
      <c r="S71" s="7">
        <f>K71*'Pesos finales'!$B$16+L71*'Pesos finales'!$B$17+M71*'Pesos finales'!$B$18+N71*'Pesos finales'!$B$19+O71*'Pesos finales'!$B$20+P71*'Pesos finales'!$B$21+Q71*'Pesos finales'!$B$22+R71*'Pesos finales'!$B$23+'Pesos finales'!$B$27</f>
        <v/>
      </c>
      <c r="T71" s="7">
        <f>K71*'Pesos finales'!$C$16+L71*'Pesos finales'!$C$17+M71*'Pesos finales'!$C$18+N71*'Pesos finales'!$C$19+O71*'Pesos finales'!$C$20+P71*'Pesos finales'!$C$21+Q71*'Pesos finales'!$C$22+R71*'Pesos finales'!$C$23+'Pesos finales'!$C$27</f>
        <v/>
      </c>
      <c r="U71" s="7">
        <f>K71*'Pesos finales'!$D$16+L71*'Pesos finales'!$D$17+M71*'Pesos finales'!$D$18+N71*'Pesos finales'!$D$19+O71*'Pesos finales'!$D$20+P71*'Pesos finales'!$D$21+Q71*'Pesos finales'!$D$22+R71*'Pesos finales'!$D$23+'Pesos finales'!$D$27</f>
        <v/>
      </c>
      <c r="V71" s="7">
        <f>EXP(S71)/(EXP(S71)+EXP(T71)+EXP(U71))</f>
        <v/>
      </c>
      <c r="W71" s="7">
        <f>EXP(T71)/(EXP(S71)+EXP(T71)+EXP(U71))</f>
        <v/>
      </c>
      <c r="X71" s="7">
        <f>EXP(U71)/(EXP(S71)+EXP(T71)+EXP(U71))</f>
        <v/>
      </c>
      <c r="Y71">
        <f>IF(AND(V71&gt;=W71,V71&gt;=X71),"Iris-setosa",IF(AND(W71&gt;=X71),"Iris-versicolor","Iris-virginica"))</f>
        <v/>
      </c>
      <c r="Z71" t="inlineStr">
        <is>
          <t>Iris-versicolor</t>
        </is>
      </c>
      <c r="AA71">
        <f>IF(Y71=Z71,"Sí","No")</f>
        <v/>
      </c>
      <c r="AB71" s="7" t="n">
        <v>0.005571878194098462</v>
      </c>
      <c r="AC71" s="7" t="n">
        <v>0.9943147932575018</v>
      </c>
      <c r="AD71" s="7" t="n">
        <v>0.0001133285483997991</v>
      </c>
      <c r="AE71" t="inlineStr">
        <is>
          <t>Iris-versicolor</t>
        </is>
      </c>
      <c r="AF71" s="9">
        <f>MAX(ABS(V71-AB71),ABS(W71-AC71),ABS(X71-AD71))</f>
        <v/>
      </c>
      <c r="AG71">
        <f>IF(AND(Y71=AE71,AF71&lt;1E-9),"Sí","No")</f>
        <v/>
      </c>
    </row>
    <row r="72">
      <c r="A72" t="n">
        <v>66</v>
      </c>
      <c r="B72" t="inlineStr">
        <is>
          <t>entrenamiento</t>
        </is>
      </c>
      <c r="C72" t="n">
        <v>6.7</v>
      </c>
      <c r="D72" t="n">
        <v>3.1</v>
      </c>
      <c r="E72" t="n">
        <v>4.4</v>
      </c>
      <c r="F72" t="n">
        <v>1.4</v>
      </c>
      <c r="G72" s="7">
        <f>(C72-'Pesos finales'!$B$31)/'Pesos finales'!$B$32</f>
        <v/>
      </c>
      <c r="H72" s="7">
        <f>(D72-'Pesos finales'!$C$31)/'Pesos finales'!$C$32</f>
        <v/>
      </c>
      <c r="I72" s="7">
        <f>(E72-'Pesos finales'!$D$31)/'Pesos finales'!$D$32</f>
        <v/>
      </c>
      <c r="J72" s="7">
        <f>(F72-'Pesos finales'!$E$31)/'Pesos finales'!$E$32</f>
        <v/>
      </c>
      <c r="K72" s="7">
        <f>TANH(G72*'Pesos finales'!$B$5+H72*'Pesos finales'!$B$6+I72*'Pesos finales'!$B$7+J72*'Pesos finales'!$B$8+'Pesos finales'!$B$12)</f>
        <v/>
      </c>
      <c r="L72" s="7">
        <f>TANH(G72*'Pesos finales'!$C$5+H72*'Pesos finales'!$C$6+I72*'Pesos finales'!$C$7+J72*'Pesos finales'!$C$8+'Pesos finales'!$C$12)</f>
        <v/>
      </c>
      <c r="M72" s="7">
        <f>TANH(G72*'Pesos finales'!$D$5+H72*'Pesos finales'!$D$6+I72*'Pesos finales'!$D$7+J72*'Pesos finales'!$D$8+'Pesos finales'!$D$12)</f>
        <v/>
      </c>
      <c r="N72" s="7">
        <f>TANH(G72*'Pesos finales'!$E$5+H72*'Pesos finales'!$E$6+I72*'Pesos finales'!$E$7+J72*'Pesos finales'!$E$8+'Pesos finales'!$E$12)</f>
        <v/>
      </c>
      <c r="O72" s="7">
        <f>TANH(G72*'Pesos finales'!$F$5+H72*'Pesos finales'!$F$6+I72*'Pesos finales'!$F$7+J72*'Pesos finales'!$F$8+'Pesos finales'!$F$12)</f>
        <v/>
      </c>
      <c r="P72" s="7">
        <f>TANH(G72*'Pesos finales'!$G$5+H72*'Pesos finales'!$G$6+I72*'Pesos finales'!$G$7+J72*'Pesos finales'!$G$8+'Pesos finales'!$G$12)</f>
        <v/>
      </c>
      <c r="Q72" s="7">
        <f>TANH(G72*'Pesos finales'!$H$5+H72*'Pesos finales'!$H$6+I72*'Pesos finales'!$H$7+J72*'Pesos finales'!$H$8+'Pesos finales'!$H$12)</f>
        <v/>
      </c>
      <c r="R72" s="7">
        <f>TANH(G72*'Pesos finales'!$I$5+H72*'Pesos finales'!$I$6+I72*'Pesos finales'!$I$7+J72*'Pesos finales'!$I$8+'Pesos finales'!$I$12)</f>
        <v/>
      </c>
      <c r="S72" s="7">
        <f>K72*'Pesos finales'!$B$16+L72*'Pesos finales'!$B$17+M72*'Pesos finales'!$B$18+N72*'Pesos finales'!$B$19+O72*'Pesos finales'!$B$20+P72*'Pesos finales'!$B$21+Q72*'Pesos finales'!$B$22+R72*'Pesos finales'!$B$23+'Pesos finales'!$B$27</f>
        <v/>
      </c>
      <c r="T72" s="7">
        <f>K72*'Pesos finales'!$C$16+L72*'Pesos finales'!$C$17+M72*'Pesos finales'!$C$18+N72*'Pesos finales'!$C$19+O72*'Pesos finales'!$C$20+P72*'Pesos finales'!$C$21+Q72*'Pesos finales'!$C$22+R72*'Pesos finales'!$C$23+'Pesos finales'!$C$27</f>
        <v/>
      </c>
      <c r="U72" s="7">
        <f>K72*'Pesos finales'!$D$16+L72*'Pesos finales'!$D$17+M72*'Pesos finales'!$D$18+N72*'Pesos finales'!$D$19+O72*'Pesos finales'!$D$20+P72*'Pesos finales'!$D$21+Q72*'Pesos finales'!$D$22+R72*'Pesos finales'!$D$23+'Pesos finales'!$D$27</f>
        <v/>
      </c>
      <c r="V72" s="7">
        <f>EXP(S72)/(EXP(S72)+EXP(T72)+EXP(U72))</f>
        <v/>
      </c>
      <c r="W72" s="7">
        <f>EXP(T72)/(EXP(S72)+EXP(T72)+EXP(U72))</f>
        <v/>
      </c>
      <c r="X72" s="7">
        <f>EXP(U72)/(EXP(S72)+EXP(T72)+EXP(U72))</f>
        <v/>
      </c>
      <c r="Y72">
        <f>IF(AND(V72&gt;=W72,V72&gt;=X72),"Iris-setosa",IF(AND(W72&gt;=X72),"Iris-versicolor","Iris-virginica"))</f>
        <v/>
      </c>
      <c r="Z72" t="inlineStr">
        <is>
          <t>Iris-versicolor</t>
        </is>
      </c>
      <c r="AA72">
        <f>IF(Y72=Z72,"Sí","No")</f>
        <v/>
      </c>
      <c r="AB72" s="7" t="n">
        <v>0.0005844090155111803</v>
      </c>
      <c r="AC72" s="7" t="n">
        <v>0.9986174721150557</v>
      </c>
      <c r="AD72" s="7" t="n">
        <v>0.0007981188694330802</v>
      </c>
      <c r="AE72" t="inlineStr">
        <is>
          <t>Iris-versicolor</t>
        </is>
      </c>
      <c r="AF72" s="9">
        <f>MAX(ABS(V72-AB72),ABS(W72-AC72),ABS(X72-AD72))</f>
        <v/>
      </c>
      <c r="AG72">
        <f>IF(AND(Y72=AE72,AF72&lt;1E-9),"Sí","No")</f>
        <v/>
      </c>
    </row>
    <row r="73">
      <c r="A73" t="n">
        <v>67</v>
      </c>
      <c r="B73" t="inlineStr">
        <is>
          <t>prueba</t>
        </is>
      </c>
      <c r="C73" t="n">
        <v>5.6</v>
      </c>
      <c r="D73" t="n">
        <v>3</v>
      </c>
      <c r="E73" t="n">
        <v>4.5</v>
      </c>
      <c r="F73" t="n">
        <v>1.5</v>
      </c>
      <c r="G73" s="7">
        <f>(C73-'Pesos finales'!$B$31)/'Pesos finales'!$B$32</f>
        <v/>
      </c>
      <c r="H73" s="7">
        <f>(D73-'Pesos finales'!$C$31)/'Pesos finales'!$C$32</f>
        <v/>
      </c>
      <c r="I73" s="7">
        <f>(E73-'Pesos finales'!$D$31)/'Pesos finales'!$D$32</f>
        <v/>
      </c>
      <c r="J73" s="7">
        <f>(F73-'Pesos finales'!$E$31)/'Pesos finales'!$E$32</f>
        <v/>
      </c>
      <c r="K73" s="7">
        <f>TANH(G73*'Pesos finales'!$B$5+H73*'Pesos finales'!$B$6+I73*'Pesos finales'!$B$7+J73*'Pesos finales'!$B$8+'Pesos finales'!$B$12)</f>
        <v/>
      </c>
      <c r="L73" s="7">
        <f>TANH(G73*'Pesos finales'!$C$5+H73*'Pesos finales'!$C$6+I73*'Pesos finales'!$C$7+J73*'Pesos finales'!$C$8+'Pesos finales'!$C$12)</f>
        <v/>
      </c>
      <c r="M73" s="7">
        <f>TANH(G73*'Pesos finales'!$D$5+H73*'Pesos finales'!$D$6+I73*'Pesos finales'!$D$7+J73*'Pesos finales'!$D$8+'Pesos finales'!$D$12)</f>
        <v/>
      </c>
      <c r="N73" s="7">
        <f>TANH(G73*'Pesos finales'!$E$5+H73*'Pesos finales'!$E$6+I73*'Pesos finales'!$E$7+J73*'Pesos finales'!$E$8+'Pesos finales'!$E$12)</f>
        <v/>
      </c>
      <c r="O73" s="7">
        <f>TANH(G73*'Pesos finales'!$F$5+H73*'Pesos finales'!$F$6+I73*'Pesos finales'!$F$7+J73*'Pesos finales'!$F$8+'Pesos finales'!$F$12)</f>
        <v/>
      </c>
      <c r="P73" s="7">
        <f>TANH(G73*'Pesos finales'!$G$5+H73*'Pesos finales'!$G$6+I73*'Pesos finales'!$G$7+J73*'Pesos finales'!$G$8+'Pesos finales'!$G$12)</f>
        <v/>
      </c>
      <c r="Q73" s="7">
        <f>TANH(G73*'Pesos finales'!$H$5+H73*'Pesos finales'!$H$6+I73*'Pesos finales'!$H$7+J73*'Pesos finales'!$H$8+'Pesos finales'!$H$12)</f>
        <v/>
      </c>
      <c r="R73" s="7">
        <f>TANH(G73*'Pesos finales'!$I$5+H73*'Pesos finales'!$I$6+I73*'Pesos finales'!$I$7+J73*'Pesos finales'!$I$8+'Pesos finales'!$I$12)</f>
        <v/>
      </c>
      <c r="S73" s="7">
        <f>K73*'Pesos finales'!$B$16+L73*'Pesos finales'!$B$17+M73*'Pesos finales'!$B$18+N73*'Pesos finales'!$B$19+O73*'Pesos finales'!$B$20+P73*'Pesos finales'!$B$21+Q73*'Pesos finales'!$B$22+R73*'Pesos finales'!$B$23+'Pesos finales'!$B$27</f>
        <v/>
      </c>
      <c r="T73" s="7">
        <f>K73*'Pesos finales'!$C$16+L73*'Pesos finales'!$C$17+M73*'Pesos finales'!$C$18+N73*'Pesos finales'!$C$19+O73*'Pesos finales'!$C$20+P73*'Pesos finales'!$C$21+Q73*'Pesos finales'!$C$22+R73*'Pesos finales'!$C$23+'Pesos finales'!$C$27</f>
        <v/>
      </c>
      <c r="U73" s="7">
        <f>K73*'Pesos finales'!$D$16+L73*'Pesos finales'!$D$17+M73*'Pesos finales'!$D$18+N73*'Pesos finales'!$D$19+O73*'Pesos finales'!$D$20+P73*'Pesos finales'!$D$21+Q73*'Pesos finales'!$D$22+R73*'Pesos finales'!$D$23+'Pesos finales'!$D$27</f>
        <v/>
      </c>
      <c r="V73" s="7">
        <f>EXP(S73)/(EXP(S73)+EXP(T73)+EXP(U73))</f>
        <v/>
      </c>
      <c r="W73" s="7">
        <f>EXP(T73)/(EXP(S73)+EXP(T73)+EXP(U73))</f>
        <v/>
      </c>
      <c r="X73" s="7">
        <f>EXP(U73)/(EXP(S73)+EXP(T73)+EXP(U73))</f>
        <v/>
      </c>
      <c r="Y73">
        <f>IF(AND(V73&gt;=W73,V73&gt;=X73),"Iris-setosa",IF(AND(W73&gt;=X73),"Iris-versicolor","Iris-virginica"))</f>
        <v/>
      </c>
      <c r="Z73" t="inlineStr">
        <is>
          <t>Iris-versicolor</t>
        </is>
      </c>
      <c r="AA73">
        <f>IF(Y73=Z73,"Sí","No")</f>
        <v/>
      </c>
      <c r="AB73" s="7" t="n">
        <v>0.001851300402816101</v>
      </c>
      <c r="AC73" s="7" t="n">
        <v>0.9863922451313287</v>
      </c>
      <c r="AD73" s="7" t="n">
        <v>0.01175645446585511</v>
      </c>
      <c r="AE73" t="inlineStr">
        <is>
          <t>Iris-versicolor</t>
        </is>
      </c>
      <c r="AF73" s="9">
        <f>MAX(ABS(V73-AB73),ABS(W73-AC73),ABS(X73-AD73))</f>
        <v/>
      </c>
      <c r="AG73">
        <f>IF(AND(Y73=AE73,AF73&lt;1E-9),"Sí","No")</f>
        <v/>
      </c>
    </row>
    <row r="74">
      <c r="A74" t="n">
        <v>68</v>
      </c>
      <c r="B74" t="inlineStr">
        <is>
          <t>entrenamiento</t>
        </is>
      </c>
      <c r="C74" t="n">
        <v>5.8</v>
      </c>
      <c r="D74" t="n">
        <v>2.7</v>
      </c>
      <c r="E74" t="n">
        <v>4.1</v>
      </c>
      <c r="F74" t="n">
        <v>1</v>
      </c>
      <c r="G74" s="7">
        <f>(C74-'Pesos finales'!$B$31)/'Pesos finales'!$B$32</f>
        <v/>
      </c>
      <c r="H74" s="7">
        <f>(D74-'Pesos finales'!$C$31)/'Pesos finales'!$C$32</f>
        <v/>
      </c>
      <c r="I74" s="7">
        <f>(E74-'Pesos finales'!$D$31)/'Pesos finales'!$D$32</f>
        <v/>
      </c>
      <c r="J74" s="7">
        <f>(F74-'Pesos finales'!$E$31)/'Pesos finales'!$E$32</f>
        <v/>
      </c>
      <c r="K74" s="7">
        <f>TANH(G74*'Pesos finales'!$B$5+H74*'Pesos finales'!$B$6+I74*'Pesos finales'!$B$7+J74*'Pesos finales'!$B$8+'Pesos finales'!$B$12)</f>
        <v/>
      </c>
      <c r="L74" s="7">
        <f>TANH(G74*'Pesos finales'!$C$5+H74*'Pesos finales'!$C$6+I74*'Pesos finales'!$C$7+J74*'Pesos finales'!$C$8+'Pesos finales'!$C$12)</f>
        <v/>
      </c>
      <c r="M74" s="7">
        <f>TANH(G74*'Pesos finales'!$D$5+H74*'Pesos finales'!$D$6+I74*'Pesos finales'!$D$7+J74*'Pesos finales'!$D$8+'Pesos finales'!$D$12)</f>
        <v/>
      </c>
      <c r="N74" s="7">
        <f>TANH(G74*'Pesos finales'!$E$5+H74*'Pesos finales'!$E$6+I74*'Pesos finales'!$E$7+J74*'Pesos finales'!$E$8+'Pesos finales'!$E$12)</f>
        <v/>
      </c>
      <c r="O74" s="7">
        <f>TANH(G74*'Pesos finales'!$F$5+H74*'Pesos finales'!$F$6+I74*'Pesos finales'!$F$7+J74*'Pesos finales'!$F$8+'Pesos finales'!$F$12)</f>
        <v/>
      </c>
      <c r="P74" s="7">
        <f>TANH(G74*'Pesos finales'!$G$5+H74*'Pesos finales'!$G$6+I74*'Pesos finales'!$G$7+J74*'Pesos finales'!$G$8+'Pesos finales'!$G$12)</f>
        <v/>
      </c>
      <c r="Q74" s="7">
        <f>TANH(G74*'Pesos finales'!$H$5+H74*'Pesos finales'!$H$6+I74*'Pesos finales'!$H$7+J74*'Pesos finales'!$H$8+'Pesos finales'!$H$12)</f>
        <v/>
      </c>
      <c r="R74" s="7">
        <f>TANH(G74*'Pesos finales'!$I$5+H74*'Pesos finales'!$I$6+I74*'Pesos finales'!$I$7+J74*'Pesos finales'!$I$8+'Pesos finales'!$I$12)</f>
        <v/>
      </c>
      <c r="S74" s="7">
        <f>K74*'Pesos finales'!$B$16+L74*'Pesos finales'!$B$17+M74*'Pesos finales'!$B$18+N74*'Pesos finales'!$B$19+O74*'Pesos finales'!$B$20+P74*'Pesos finales'!$B$21+Q74*'Pesos finales'!$B$22+R74*'Pesos finales'!$B$23+'Pesos finales'!$B$27</f>
        <v/>
      </c>
      <c r="T74" s="7">
        <f>K74*'Pesos finales'!$C$16+L74*'Pesos finales'!$C$17+M74*'Pesos finales'!$C$18+N74*'Pesos finales'!$C$19+O74*'Pesos finales'!$C$20+P74*'Pesos finales'!$C$21+Q74*'Pesos finales'!$C$22+R74*'Pesos finales'!$C$23+'Pesos finales'!$C$27</f>
        <v/>
      </c>
      <c r="U74" s="7">
        <f>K74*'Pesos finales'!$D$16+L74*'Pesos finales'!$D$17+M74*'Pesos finales'!$D$18+N74*'Pesos finales'!$D$19+O74*'Pesos finales'!$D$20+P74*'Pesos finales'!$D$21+Q74*'Pesos finales'!$D$22+R74*'Pesos finales'!$D$23+'Pesos finales'!$D$27</f>
        <v/>
      </c>
      <c r="V74" s="7">
        <f>EXP(S74)/(EXP(S74)+EXP(T74)+EXP(U74))</f>
        <v/>
      </c>
      <c r="W74" s="7">
        <f>EXP(T74)/(EXP(S74)+EXP(T74)+EXP(U74))</f>
        <v/>
      </c>
      <c r="X74" s="7">
        <f>EXP(U74)/(EXP(S74)+EXP(T74)+EXP(U74))</f>
        <v/>
      </c>
      <c r="Y74">
        <f>IF(AND(V74&gt;=W74,V74&gt;=X74),"Iris-setosa",IF(AND(W74&gt;=X74),"Iris-versicolor","Iris-virginica"))</f>
        <v/>
      </c>
      <c r="Z74" t="inlineStr">
        <is>
          <t>Iris-versicolor</t>
        </is>
      </c>
      <c r="AA74">
        <f>IF(Y74=Z74,"Sí","No")</f>
        <v/>
      </c>
      <c r="AB74" s="7" t="n">
        <v>0.001521729779339091</v>
      </c>
      <c r="AC74" s="7" t="n">
        <v>0.9984112971602511</v>
      </c>
      <c r="AD74" s="7" t="n">
        <v>6.69730604099805e-05</v>
      </c>
      <c r="AE74" t="inlineStr">
        <is>
          <t>Iris-versicolor</t>
        </is>
      </c>
      <c r="AF74" s="9">
        <f>MAX(ABS(V74-AB74),ABS(W74-AC74),ABS(X74-AD74))</f>
        <v/>
      </c>
      <c r="AG74">
        <f>IF(AND(Y74=AE74,AF74&lt;1E-9),"Sí","No")</f>
        <v/>
      </c>
    </row>
    <row r="75">
      <c r="A75" t="n">
        <v>69</v>
      </c>
      <c r="B75" t="inlineStr">
        <is>
          <t>prueba</t>
        </is>
      </c>
      <c r="C75" t="n">
        <v>6.2</v>
      </c>
      <c r="D75" t="n">
        <v>2.2</v>
      </c>
      <c r="E75" t="n">
        <v>4.5</v>
      </c>
      <c r="F75" t="n">
        <v>1.5</v>
      </c>
      <c r="G75" s="7">
        <f>(C75-'Pesos finales'!$B$31)/'Pesos finales'!$B$32</f>
        <v/>
      </c>
      <c r="H75" s="7">
        <f>(D75-'Pesos finales'!$C$31)/'Pesos finales'!$C$32</f>
        <v/>
      </c>
      <c r="I75" s="7">
        <f>(E75-'Pesos finales'!$D$31)/'Pesos finales'!$D$32</f>
        <v/>
      </c>
      <c r="J75" s="7">
        <f>(F75-'Pesos finales'!$E$31)/'Pesos finales'!$E$32</f>
        <v/>
      </c>
      <c r="K75" s="7">
        <f>TANH(G75*'Pesos finales'!$B$5+H75*'Pesos finales'!$B$6+I75*'Pesos finales'!$B$7+J75*'Pesos finales'!$B$8+'Pesos finales'!$B$12)</f>
        <v/>
      </c>
      <c r="L75" s="7">
        <f>TANH(G75*'Pesos finales'!$C$5+H75*'Pesos finales'!$C$6+I75*'Pesos finales'!$C$7+J75*'Pesos finales'!$C$8+'Pesos finales'!$C$12)</f>
        <v/>
      </c>
      <c r="M75" s="7">
        <f>TANH(G75*'Pesos finales'!$D$5+H75*'Pesos finales'!$D$6+I75*'Pesos finales'!$D$7+J75*'Pesos finales'!$D$8+'Pesos finales'!$D$12)</f>
        <v/>
      </c>
      <c r="N75" s="7">
        <f>TANH(G75*'Pesos finales'!$E$5+H75*'Pesos finales'!$E$6+I75*'Pesos finales'!$E$7+J75*'Pesos finales'!$E$8+'Pesos finales'!$E$12)</f>
        <v/>
      </c>
      <c r="O75" s="7">
        <f>TANH(G75*'Pesos finales'!$F$5+H75*'Pesos finales'!$F$6+I75*'Pesos finales'!$F$7+J75*'Pesos finales'!$F$8+'Pesos finales'!$F$12)</f>
        <v/>
      </c>
      <c r="P75" s="7">
        <f>TANH(G75*'Pesos finales'!$G$5+H75*'Pesos finales'!$G$6+I75*'Pesos finales'!$G$7+J75*'Pesos finales'!$G$8+'Pesos finales'!$G$12)</f>
        <v/>
      </c>
      <c r="Q75" s="7">
        <f>TANH(G75*'Pesos finales'!$H$5+H75*'Pesos finales'!$H$6+I75*'Pesos finales'!$H$7+J75*'Pesos finales'!$H$8+'Pesos finales'!$H$12)</f>
        <v/>
      </c>
      <c r="R75" s="7">
        <f>TANH(G75*'Pesos finales'!$I$5+H75*'Pesos finales'!$I$6+I75*'Pesos finales'!$I$7+J75*'Pesos finales'!$I$8+'Pesos finales'!$I$12)</f>
        <v/>
      </c>
      <c r="S75" s="7">
        <f>K75*'Pesos finales'!$B$16+L75*'Pesos finales'!$B$17+M75*'Pesos finales'!$B$18+N75*'Pesos finales'!$B$19+O75*'Pesos finales'!$B$20+P75*'Pesos finales'!$B$21+Q75*'Pesos finales'!$B$22+R75*'Pesos finales'!$B$23+'Pesos finales'!$B$27</f>
        <v/>
      </c>
      <c r="T75" s="7">
        <f>K75*'Pesos finales'!$C$16+L75*'Pesos finales'!$C$17+M75*'Pesos finales'!$C$18+N75*'Pesos finales'!$C$19+O75*'Pesos finales'!$C$20+P75*'Pesos finales'!$C$21+Q75*'Pesos finales'!$C$22+R75*'Pesos finales'!$C$23+'Pesos finales'!$C$27</f>
        <v/>
      </c>
      <c r="U75" s="7">
        <f>K75*'Pesos finales'!$D$16+L75*'Pesos finales'!$D$17+M75*'Pesos finales'!$D$18+N75*'Pesos finales'!$D$19+O75*'Pesos finales'!$D$20+P75*'Pesos finales'!$D$21+Q75*'Pesos finales'!$D$22+R75*'Pesos finales'!$D$23+'Pesos finales'!$D$27</f>
        <v/>
      </c>
      <c r="V75" s="7">
        <f>EXP(S75)/(EXP(S75)+EXP(T75)+EXP(U75))</f>
        <v/>
      </c>
      <c r="W75" s="7">
        <f>EXP(T75)/(EXP(S75)+EXP(T75)+EXP(U75))</f>
        <v/>
      </c>
      <c r="X75" s="7">
        <f>EXP(U75)/(EXP(S75)+EXP(T75)+EXP(U75))</f>
        <v/>
      </c>
      <c r="Y75">
        <f>IF(AND(V75&gt;=W75,V75&gt;=X75),"Iris-setosa",IF(AND(W75&gt;=X75),"Iris-versicolor","Iris-virginica"))</f>
        <v/>
      </c>
      <c r="Z75" t="inlineStr">
        <is>
          <t>Iris-versicolor</t>
        </is>
      </c>
      <c r="AA75">
        <f>IF(Y75=Z75,"Sí","No")</f>
        <v/>
      </c>
      <c r="AB75" s="7" t="n">
        <v>0.0001585934981711716</v>
      </c>
      <c r="AC75" s="7" t="n">
        <v>0.7585130587287769</v>
      </c>
      <c r="AD75" s="7" t="n">
        <v>0.2413283477730519</v>
      </c>
      <c r="AE75" t="inlineStr">
        <is>
          <t>Iris-versicolor</t>
        </is>
      </c>
      <c r="AF75" s="9">
        <f>MAX(ABS(V75-AB75),ABS(W75-AC75),ABS(X75-AD75))</f>
        <v/>
      </c>
      <c r="AG75">
        <f>IF(AND(Y75=AE75,AF75&lt;1E-9),"Sí","No")</f>
        <v/>
      </c>
    </row>
    <row r="76">
      <c r="A76" t="n">
        <v>70</v>
      </c>
      <c r="B76" t="inlineStr">
        <is>
          <t>entrenamiento</t>
        </is>
      </c>
      <c r="C76" t="n">
        <v>5.6</v>
      </c>
      <c r="D76" t="n">
        <v>2.5</v>
      </c>
      <c r="E76" t="n">
        <v>3.9</v>
      </c>
      <c r="F76" t="n">
        <v>1.1</v>
      </c>
      <c r="G76" s="7">
        <f>(C76-'Pesos finales'!$B$31)/'Pesos finales'!$B$32</f>
        <v/>
      </c>
      <c r="H76" s="7">
        <f>(D76-'Pesos finales'!$C$31)/'Pesos finales'!$C$32</f>
        <v/>
      </c>
      <c r="I76" s="7">
        <f>(E76-'Pesos finales'!$D$31)/'Pesos finales'!$D$32</f>
        <v/>
      </c>
      <c r="J76" s="7">
        <f>(F76-'Pesos finales'!$E$31)/'Pesos finales'!$E$32</f>
        <v/>
      </c>
      <c r="K76" s="7">
        <f>TANH(G76*'Pesos finales'!$B$5+H76*'Pesos finales'!$B$6+I76*'Pesos finales'!$B$7+J76*'Pesos finales'!$B$8+'Pesos finales'!$B$12)</f>
        <v/>
      </c>
      <c r="L76" s="7">
        <f>TANH(G76*'Pesos finales'!$C$5+H76*'Pesos finales'!$C$6+I76*'Pesos finales'!$C$7+J76*'Pesos finales'!$C$8+'Pesos finales'!$C$12)</f>
        <v/>
      </c>
      <c r="M76" s="7">
        <f>TANH(G76*'Pesos finales'!$D$5+H76*'Pesos finales'!$D$6+I76*'Pesos finales'!$D$7+J76*'Pesos finales'!$D$8+'Pesos finales'!$D$12)</f>
        <v/>
      </c>
      <c r="N76" s="7">
        <f>TANH(G76*'Pesos finales'!$E$5+H76*'Pesos finales'!$E$6+I76*'Pesos finales'!$E$7+J76*'Pesos finales'!$E$8+'Pesos finales'!$E$12)</f>
        <v/>
      </c>
      <c r="O76" s="7">
        <f>TANH(G76*'Pesos finales'!$F$5+H76*'Pesos finales'!$F$6+I76*'Pesos finales'!$F$7+J76*'Pesos finales'!$F$8+'Pesos finales'!$F$12)</f>
        <v/>
      </c>
      <c r="P76" s="7">
        <f>TANH(G76*'Pesos finales'!$G$5+H76*'Pesos finales'!$G$6+I76*'Pesos finales'!$G$7+J76*'Pesos finales'!$G$8+'Pesos finales'!$G$12)</f>
        <v/>
      </c>
      <c r="Q76" s="7">
        <f>TANH(G76*'Pesos finales'!$H$5+H76*'Pesos finales'!$H$6+I76*'Pesos finales'!$H$7+J76*'Pesos finales'!$H$8+'Pesos finales'!$H$12)</f>
        <v/>
      </c>
      <c r="R76" s="7">
        <f>TANH(G76*'Pesos finales'!$I$5+H76*'Pesos finales'!$I$6+I76*'Pesos finales'!$I$7+J76*'Pesos finales'!$I$8+'Pesos finales'!$I$12)</f>
        <v/>
      </c>
      <c r="S76" s="7">
        <f>K76*'Pesos finales'!$B$16+L76*'Pesos finales'!$B$17+M76*'Pesos finales'!$B$18+N76*'Pesos finales'!$B$19+O76*'Pesos finales'!$B$20+P76*'Pesos finales'!$B$21+Q76*'Pesos finales'!$B$22+R76*'Pesos finales'!$B$23+'Pesos finales'!$B$27</f>
        <v/>
      </c>
      <c r="T76" s="7">
        <f>K76*'Pesos finales'!$C$16+L76*'Pesos finales'!$C$17+M76*'Pesos finales'!$C$18+N76*'Pesos finales'!$C$19+O76*'Pesos finales'!$C$20+P76*'Pesos finales'!$C$21+Q76*'Pesos finales'!$C$22+R76*'Pesos finales'!$C$23+'Pesos finales'!$C$27</f>
        <v/>
      </c>
      <c r="U76" s="7">
        <f>K76*'Pesos finales'!$D$16+L76*'Pesos finales'!$D$17+M76*'Pesos finales'!$D$18+N76*'Pesos finales'!$D$19+O76*'Pesos finales'!$D$20+P76*'Pesos finales'!$D$21+Q76*'Pesos finales'!$D$22+R76*'Pesos finales'!$D$23+'Pesos finales'!$D$27</f>
        <v/>
      </c>
      <c r="V76" s="7">
        <f>EXP(S76)/(EXP(S76)+EXP(T76)+EXP(U76))</f>
        <v/>
      </c>
      <c r="W76" s="7">
        <f>EXP(T76)/(EXP(S76)+EXP(T76)+EXP(U76))</f>
        <v/>
      </c>
      <c r="X76" s="7">
        <f>EXP(U76)/(EXP(S76)+EXP(T76)+EXP(U76))</f>
        <v/>
      </c>
      <c r="Y76">
        <f>IF(AND(V76&gt;=W76,V76&gt;=X76),"Iris-setosa",IF(AND(W76&gt;=X76),"Iris-versicolor","Iris-virginica"))</f>
        <v/>
      </c>
      <c r="Z76" t="inlineStr">
        <is>
          <t>Iris-versicolor</t>
        </is>
      </c>
      <c r="AA76">
        <f>IF(Y76=Z76,"Sí","No")</f>
        <v/>
      </c>
      <c r="AB76" s="7" t="n">
        <v>0.0009703154686530564</v>
      </c>
      <c r="AC76" s="7" t="n">
        <v>0.9988838689177735</v>
      </c>
      <c r="AD76" s="7" t="n">
        <v>0.0001458156135734736</v>
      </c>
      <c r="AE76" t="inlineStr">
        <is>
          <t>Iris-versicolor</t>
        </is>
      </c>
      <c r="AF76" s="9">
        <f>MAX(ABS(V76-AB76),ABS(W76-AC76),ABS(X76-AD76))</f>
        <v/>
      </c>
      <c r="AG76">
        <f>IF(AND(Y76=AE76,AF76&lt;1E-9),"Sí","No")</f>
        <v/>
      </c>
    </row>
    <row r="77">
      <c r="A77" t="n">
        <v>71</v>
      </c>
      <c r="B77" t="inlineStr">
        <is>
          <t>entrenamiento</t>
        </is>
      </c>
      <c r="C77" t="n">
        <v>5.9</v>
      </c>
      <c r="D77" t="n">
        <v>3.2</v>
      </c>
      <c r="E77" t="n">
        <v>4.8</v>
      </c>
      <c r="F77" t="n">
        <v>1.8</v>
      </c>
      <c r="G77" s="7">
        <f>(C77-'Pesos finales'!$B$31)/'Pesos finales'!$B$32</f>
        <v/>
      </c>
      <c r="H77" s="7">
        <f>(D77-'Pesos finales'!$C$31)/'Pesos finales'!$C$32</f>
        <v/>
      </c>
      <c r="I77" s="7">
        <f>(E77-'Pesos finales'!$D$31)/'Pesos finales'!$D$32</f>
        <v/>
      </c>
      <c r="J77" s="7">
        <f>(F77-'Pesos finales'!$E$31)/'Pesos finales'!$E$32</f>
        <v/>
      </c>
      <c r="K77" s="7">
        <f>TANH(G77*'Pesos finales'!$B$5+H77*'Pesos finales'!$B$6+I77*'Pesos finales'!$B$7+J77*'Pesos finales'!$B$8+'Pesos finales'!$B$12)</f>
        <v/>
      </c>
      <c r="L77" s="7">
        <f>TANH(G77*'Pesos finales'!$C$5+H77*'Pesos finales'!$C$6+I77*'Pesos finales'!$C$7+J77*'Pesos finales'!$C$8+'Pesos finales'!$C$12)</f>
        <v/>
      </c>
      <c r="M77" s="7">
        <f>TANH(G77*'Pesos finales'!$D$5+H77*'Pesos finales'!$D$6+I77*'Pesos finales'!$D$7+J77*'Pesos finales'!$D$8+'Pesos finales'!$D$12)</f>
        <v/>
      </c>
      <c r="N77" s="7">
        <f>TANH(G77*'Pesos finales'!$E$5+H77*'Pesos finales'!$E$6+I77*'Pesos finales'!$E$7+J77*'Pesos finales'!$E$8+'Pesos finales'!$E$12)</f>
        <v/>
      </c>
      <c r="O77" s="7">
        <f>TANH(G77*'Pesos finales'!$F$5+H77*'Pesos finales'!$F$6+I77*'Pesos finales'!$F$7+J77*'Pesos finales'!$F$8+'Pesos finales'!$F$12)</f>
        <v/>
      </c>
      <c r="P77" s="7">
        <f>TANH(G77*'Pesos finales'!$G$5+H77*'Pesos finales'!$G$6+I77*'Pesos finales'!$G$7+J77*'Pesos finales'!$G$8+'Pesos finales'!$G$12)</f>
        <v/>
      </c>
      <c r="Q77" s="7">
        <f>TANH(G77*'Pesos finales'!$H$5+H77*'Pesos finales'!$H$6+I77*'Pesos finales'!$H$7+J77*'Pesos finales'!$H$8+'Pesos finales'!$H$12)</f>
        <v/>
      </c>
      <c r="R77" s="7">
        <f>TANH(G77*'Pesos finales'!$I$5+H77*'Pesos finales'!$I$6+I77*'Pesos finales'!$I$7+J77*'Pesos finales'!$I$8+'Pesos finales'!$I$12)</f>
        <v/>
      </c>
      <c r="S77" s="7">
        <f>K77*'Pesos finales'!$B$16+L77*'Pesos finales'!$B$17+M77*'Pesos finales'!$B$18+N77*'Pesos finales'!$B$19+O77*'Pesos finales'!$B$20+P77*'Pesos finales'!$B$21+Q77*'Pesos finales'!$B$22+R77*'Pesos finales'!$B$23+'Pesos finales'!$B$27</f>
        <v/>
      </c>
      <c r="T77" s="7">
        <f>K77*'Pesos finales'!$C$16+L77*'Pesos finales'!$C$17+M77*'Pesos finales'!$C$18+N77*'Pesos finales'!$C$19+O77*'Pesos finales'!$C$20+P77*'Pesos finales'!$C$21+Q77*'Pesos finales'!$C$22+R77*'Pesos finales'!$C$23+'Pesos finales'!$C$27</f>
        <v/>
      </c>
      <c r="U77" s="7">
        <f>K77*'Pesos finales'!$D$16+L77*'Pesos finales'!$D$17+M77*'Pesos finales'!$D$18+N77*'Pesos finales'!$D$19+O77*'Pesos finales'!$D$20+P77*'Pesos finales'!$D$21+Q77*'Pesos finales'!$D$22+R77*'Pesos finales'!$D$23+'Pesos finales'!$D$27</f>
        <v/>
      </c>
      <c r="V77" s="7">
        <f>EXP(S77)/(EXP(S77)+EXP(T77)+EXP(U77))</f>
        <v/>
      </c>
      <c r="W77" s="7">
        <f>EXP(T77)/(EXP(S77)+EXP(T77)+EXP(U77))</f>
        <v/>
      </c>
      <c r="X77" s="7">
        <f>EXP(U77)/(EXP(S77)+EXP(T77)+EXP(U77))</f>
        <v/>
      </c>
      <c r="Y77">
        <f>IF(AND(V77&gt;=W77,V77&gt;=X77),"Iris-setosa",IF(AND(W77&gt;=X77),"Iris-versicolor","Iris-virginica"))</f>
        <v/>
      </c>
      <c r="Z77" t="inlineStr">
        <is>
          <t>Iris-versicolor</t>
        </is>
      </c>
      <c r="AA77">
        <f>IF(Y77=Z77,"Sí","No")</f>
        <v/>
      </c>
      <c r="AB77" s="7" t="n">
        <v>0.0007276665969389515</v>
      </c>
      <c r="AC77" s="7" t="n">
        <v>0.5880250245021111</v>
      </c>
      <c r="AD77" s="7" t="n">
        <v>0.41124730890095</v>
      </c>
      <c r="AE77" t="inlineStr">
        <is>
          <t>Iris-versicolor</t>
        </is>
      </c>
      <c r="AF77" s="9">
        <f>MAX(ABS(V77-AB77),ABS(W77-AC77),ABS(X77-AD77))</f>
        <v/>
      </c>
      <c r="AG77">
        <f>IF(AND(Y77=AE77,AF77&lt;1E-9),"Sí","No")</f>
        <v/>
      </c>
    </row>
    <row r="78">
      <c r="A78" t="n">
        <v>72</v>
      </c>
      <c r="B78" t="inlineStr">
        <is>
          <t>entrenamiento</t>
        </is>
      </c>
      <c r="C78" t="n">
        <v>6.1</v>
      </c>
      <c r="D78" t="n">
        <v>2.8</v>
      </c>
      <c r="E78" t="n">
        <v>4</v>
      </c>
      <c r="F78" t="n">
        <v>1.3</v>
      </c>
      <c r="G78" s="7">
        <f>(C78-'Pesos finales'!$B$31)/'Pesos finales'!$B$32</f>
        <v/>
      </c>
      <c r="H78" s="7">
        <f>(D78-'Pesos finales'!$C$31)/'Pesos finales'!$C$32</f>
        <v/>
      </c>
      <c r="I78" s="7">
        <f>(E78-'Pesos finales'!$D$31)/'Pesos finales'!$D$32</f>
        <v/>
      </c>
      <c r="J78" s="7">
        <f>(F78-'Pesos finales'!$E$31)/'Pesos finales'!$E$32</f>
        <v/>
      </c>
      <c r="K78" s="7">
        <f>TANH(G78*'Pesos finales'!$B$5+H78*'Pesos finales'!$B$6+I78*'Pesos finales'!$B$7+J78*'Pesos finales'!$B$8+'Pesos finales'!$B$12)</f>
        <v/>
      </c>
      <c r="L78" s="7">
        <f>TANH(G78*'Pesos finales'!$C$5+H78*'Pesos finales'!$C$6+I78*'Pesos finales'!$C$7+J78*'Pesos finales'!$C$8+'Pesos finales'!$C$12)</f>
        <v/>
      </c>
      <c r="M78" s="7">
        <f>TANH(G78*'Pesos finales'!$D$5+H78*'Pesos finales'!$D$6+I78*'Pesos finales'!$D$7+J78*'Pesos finales'!$D$8+'Pesos finales'!$D$12)</f>
        <v/>
      </c>
      <c r="N78" s="7">
        <f>TANH(G78*'Pesos finales'!$E$5+H78*'Pesos finales'!$E$6+I78*'Pesos finales'!$E$7+J78*'Pesos finales'!$E$8+'Pesos finales'!$E$12)</f>
        <v/>
      </c>
      <c r="O78" s="7">
        <f>TANH(G78*'Pesos finales'!$F$5+H78*'Pesos finales'!$F$6+I78*'Pesos finales'!$F$7+J78*'Pesos finales'!$F$8+'Pesos finales'!$F$12)</f>
        <v/>
      </c>
      <c r="P78" s="7">
        <f>TANH(G78*'Pesos finales'!$G$5+H78*'Pesos finales'!$G$6+I78*'Pesos finales'!$G$7+J78*'Pesos finales'!$G$8+'Pesos finales'!$G$12)</f>
        <v/>
      </c>
      <c r="Q78" s="7">
        <f>TANH(G78*'Pesos finales'!$H$5+H78*'Pesos finales'!$H$6+I78*'Pesos finales'!$H$7+J78*'Pesos finales'!$H$8+'Pesos finales'!$H$12)</f>
        <v/>
      </c>
      <c r="R78" s="7">
        <f>TANH(G78*'Pesos finales'!$I$5+H78*'Pesos finales'!$I$6+I78*'Pesos finales'!$I$7+J78*'Pesos finales'!$I$8+'Pesos finales'!$I$12)</f>
        <v/>
      </c>
      <c r="S78" s="7">
        <f>K78*'Pesos finales'!$B$16+L78*'Pesos finales'!$B$17+M78*'Pesos finales'!$B$18+N78*'Pesos finales'!$B$19+O78*'Pesos finales'!$B$20+P78*'Pesos finales'!$B$21+Q78*'Pesos finales'!$B$22+R78*'Pesos finales'!$B$23+'Pesos finales'!$B$27</f>
        <v/>
      </c>
      <c r="T78" s="7">
        <f>K78*'Pesos finales'!$C$16+L78*'Pesos finales'!$C$17+M78*'Pesos finales'!$C$18+N78*'Pesos finales'!$C$19+O78*'Pesos finales'!$C$20+P78*'Pesos finales'!$C$21+Q78*'Pesos finales'!$C$22+R78*'Pesos finales'!$C$23+'Pesos finales'!$C$27</f>
        <v/>
      </c>
      <c r="U78" s="7">
        <f>K78*'Pesos finales'!$D$16+L78*'Pesos finales'!$D$17+M78*'Pesos finales'!$D$18+N78*'Pesos finales'!$D$19+O78*'Pesos finales'!$D$20+P78*'Pesos finales'!$D$21+Q78*'Pesos finales'!$D$22+R78*'Pesos finales'!$D$23+'Pesos finales'!$D$27</f>
        <v/>
      </c>
      <c r="V78" s="7">
        <f>EXP(S78)/(EXP(S78)+EXP(T78)+EXP(U78))</f>
        <v/>
      </c>
      <c r="W78" s="7">
        <f>EXP(T78)/(EXP(S78)+EXP(T78)+EXP(U78))</f>
        <v/>
      </c>
      <c r="X78" s="7">
        <f>EXP(U78)/(EXP(S78)+EXP(T78)+EXP(U78))</f>
        <v/>
      </c>
      <c r="Y78">
        <f>IF(AND(V78&gt;=W78,V78&gt;=X78),"Iris-setosa",IF(AND(W78&gt;=X78),"Iris-versicolor","Iris-virginica"))</f>
        <v/>
      </c>
      <c r="Z78" t="inlineStr">
        <is>
          <t>Iris-versicolor</t>
        </is>
      </c>
      <c r="AA78">
        <f>IF(Y78=Z78,"Sí","No")</f>
        <v/>
      </c>
      <c r="AB78" s="7" t="n">
        <v>0.0008015609353804441</v>
      </c>
      <c r="AC78" s="7" t="n">
        <v>0.9988853581179659</v>
      </c>
      <c r="AD78" s="7" t="n">
        <v>0.0003130809466536572</v>
      </c>
      <c r="AE78" t="inlineStr">
        <is>
          <t>Iris-versicolor</t>
        </is>
      </c>
      <c r="AF78" s="9">
        <f>MAX(ABS(V78-AB78),ABS(W78-AC78),ABS(X78-AD78))</f>
        <v/>
      </c>
      <c r="AG78">
        <f>IF(AND(Y78=AE78,AF78&lt;1E-9),"Sí","No")</f>
        <v/>
      </c>
    </row>
    <row r="79">
      <c r="A79" t="n">
        <v>73</v>
      </c>
      <c r="B79" t="inlineStr">
        <is>
          <t>entrenamiento</t>
        </is>
      </c>
      <c r="C79" t="n">
        <v>6.3</v>
      </c>
      <c r="D79" t="n">
        <v>2.5</v>
      </c>
      <c r="E79" t="n">
        <v>4.9</v>
      </c>
      <c r="F79" t="n">
        <v>1.5</v>
      </c>
      <c r="G79" s="7">
        <f>(C79-'Pesos finales'!$B$31)/'Pesos finales'!$B$32</f>
        <v/>
      </c>
      <c r="H79" s="7">
        <f>(D79-'Pesos finales'!$C$31)/'Pesos finales'!$C$32</f>
        <v/>
      </c>
      <c r="I79" s="7">
        <f>(E79-'Pesos finales'!$D$31)/'Pesos finales'!$D$32</f>
        <v/>
      </c>
      <c r="J79" s="7">
        <f>(F79-'Pesos finales'!$E$31)/'Pesos finales'!$E$32</f>
        <v/>
      </c>
      <c r="K79" s="7">
        <f>TANH(G79*'Pesos finales'!$B$5+H79*'Pesos finales'!$B$6+I79*'Pesos finales'!$B$7+J79*'Pesos finales'!$B$8+'Pesos finales'!$B$12)</f>
        <v/>
      </c>
      <c r="L79" s="7">
        <f>TANH(G79*'Pesos finales'!$C$5+H79*'Pesos finales'!$C$6+I79*'Pesos finales'!$C$7+J79*'Pesos finales'!$C$8+'Pesos finales'!$C$12)</f>
        <v/>
      </c>
      <c r="M79" s="7">
        <f>TANH(G79*'Pesos finales'!$D$5+H79*'Pesos finales'!$D$6+I79*'Pesos finales'!$D$7+J79*'Pesos finales'!$D$8+'Pesos finales'!$D$12)</f>
        <v/>
      </c>
      <c r="N79" s="7">
        <f>TANH(G79*'Pesos finales'!$E$5+H79*'Pesos finales'!$E$6+I79*'Pesos finales'!$E$7+J79*'Pesos finales'!$E$8+'Pesos finales'!$E$12)</f>
        <v/>
      </c>
      <c r="O79" s="7">
        <f>TANH(G79*'Pesos finales'!$F$5+H79*'Pesos finales'!$F$6+I79*'Pesos finales'!$F$7+J79*'Pesos finales'!$F$8+'Pesos finales'!$F$12)</f>
        <v/>
      </c>
      <c r="P79" s="7">
        <f>TANH(G79*'Pesos finales'!$G$5+H79*'Pesos finales'!$G$6+I79*'Pesos finales'!$G$7+J79*'Pesos finales'!$G$8+'Pesos finales'!$G$12)</f>
        <v/>
      </c>
      <c r="Q79" s="7">
        <f>TANH(G79*'Pesos finales'!$H$5+H79*'Pesos finales'!$H$6+I79*'Pesos finales'!$H$7+J79*'Pesos finales'!$H$8+'Pesos finales'!$H$12)</f>
        <v/>
      </c>
      <c r="R79" s="7">
        <f>TANH(G79*'Pesos finales'!$I$5+H79*'Pesos finales'!$I$6+I79*'Pesos finales'!$I$7+J79*'Pesos finales'!$I$8+'Pesos finales'!$I$12)</f>
        <v/>
      </c>
      <c r="S79" s="7">
        <f>K79*'Pesos finales'!$B$16+L79*'Pesos finales'!$B$17+M79*'Pesos finales'!$B$18+N79*'Pesos finales'!$B$19+O79*'Pesos finales'!$B$20+P79*'Pesos finales'!$B$21+Q79*'Pesos finales'!$B$22+R79*'Pesos finales'!$B$23+'Pesos finales'!$B$27</f>
        <v/>
      </c>
      <c r="T79" s="7">
        <f>K79*'Pesos finales'!$C$16+L79*'Pesos finales'!$C$17+M79*'Pesos finales'!$C$18+N79*'Pesos finales'!$C$19+O79*'Pesos finales'!$C$20+P79*'Pesos finales'!$C$21+Q79*'Pesos finales'!$C$22+R79*'Pesos finales'!$C$23+'Pesos finales'!$C$27</f>
        <v/>
      </c>
      <c r="U79" s="7">
        <f>K79*'Pesos finales'!$D$16+L79*'Pesos finales'!$D$17+M79*'Pesos finales'!$D$18+N79*'Pesos finales'!$D$19+O79*'Pesos finales'!$D$20+P79*'Pesos finales'!$D$21+Q79*'Pesos finales'!$D$22+R79*'Pesos finales'!$D$23+'Pesos finales'!$D$27</f>
        <v/>
      </c>
      <c r="V79" s="7">
        <f>EXP(S79)/(EXP(S79)+EXP(T79)+EXP(U79))</f>
        <v/>
      </c>
      <c r="W79" s="7">
        <f>EXP(T79)/(EXP(S79)+EXP(T79)+EXP(U79))</f>
        <v/>
      </c>
      <c r="X79" s="7">
        <f>EXP(U79)/(EXP(S79)+EXP(T79)+EXP(U79))</f>
        <v/>
      </c>
      <c r="Y79">
        <f>IF(AND(V79&gt;=W79,V79&gt;=X79),"Iris-setosa",IF(AND(W79&gt;=X79),"Iris-versicolor","Iris-virginica"))</f>
        <v/>
      </c>
      <c r="Z79" t="inlineStr">
        <is>
          <t>Iris-versicolor</t>
        </is>
      </c>
      <c r="AA79">
        <f>IF(Y79=Z79,"Sí","No")</f>
        <v/>
      </c>
      <c r="AB79" s="7" t="n">
        <v>0.0001779700216670599</v>
      </c>
      <c r="AC79" s="7" t="n">
        <v>0.6367084617036579</v>
      </c>
      <c r="AD79" s="7" t="n">
        <v>0.363113568274675</v>
      </c>
      <c r="AE79" t="inlineStr">
        <is>
          <t>Iris-versicolor</t>
        </is>
      </c>
      <c r="AF79" s="9">
        <f>MAX(ABS(V79-AB79),ABS(W79-AC79),ABS(X79-AD79))</f>
        <v/>
      </c>
      <c r="AG79">
        <f>IF(AND(Y79=AE79,AF79&lt;1E-9),"Sí","No")</f>
        <v/>
      </c>
    </row>
    <row r="80">
      <c r="A80" t="n">
        <v>74</v>
      </c>
      <c r="B80" t="inlineStr">
        <is>
          <t>entrenamiento</t>
        </is>
      </c>
      <c r="C80" t="n">
        <v>6.1</v>
      </c>
      <c r="D80" t="n">
        <v>2.8</v>
      </c>
      <c r="E80" t="n">
        <v>4.7</v>
      </c>
      <c r="F80" t="n">
        <v>1.2</v>
      </c>
      <c r="G80" s="7">
        <f>(C80-'Pesos finales'!$B$31)/'Pesos finales'!$B$32</f>
        <v/>
      </c>
      <c r="H80" s="7">
        <f>(D80-'Pesos finales'!$C$31)/'Pesos finales'!$C$32</f>
        <v/>
      </c>
      <c r="I80" s="7">
        <f>(E80-'Pesos finales'!$D$31)/'Pesos finales'!$D$32</f>
        <v/>
      </c>
      <c r="J80" s="7">
        <f>(F80-'Pesos finales'!$E$31)/'Pesos finales'!$E$32</f>
        <v/>
      </c>
      <c r="K80" s="7">
        <f>TANH(G80*'Pesos finales'!$B$5+H80*'Pesos finales'!$B$6+I80*'Pesos finales'!$B$7+J80*'Pesos finales'!$B$8+'Pesos finales'!$B$12)</f>
        <v/>
      </c>
      <c r="L80" s="7">
        <f>TANH(G80*'Pesos finales'!$C$5+H80*'Pesos finales'!$C$6+I80*'Pesos finales'!$C$7+J80*'Pesos finales'!$C$8+'Pesos finales'!$C$12)</f>
        <v/>
      </c>
      <c r="M80" s="7">
        <f>TANH(G80*'Pesos finales'!$D$5+H80*'Pesos finales'!$D$6+I80*'Pesos finales'!$D$7+J80*'Pesos finales'!$D$8+'Pesos finales'!$D$12)</f>
        <v/>
      </c>
      <c r="N80" s="7">
        <f>TANH(G80*'Pesos finales'!$E$5+H80*'Pesos finales'!$E$6+I80*'Pesos finales'!$E$7+J80*'Pesos finales'!$E$8+'Pesos finales'!$E$12)</f>
        <v/>
      </c>
      <c r="O80" s="7">
        <f>TANH(G80*'Pesos finales'!$F$5+H80*'Pesos finales'!$F$6+I80*'Pesos finales'!$F$7+J80*'Pesos finales'!$F$8+'Pesos finales'!$F$12)</f>
        <v/>
      </c>
      <c r="P80" s="7">
        <f>TANH(G80*'Pesos finales'!$G$5+H80*'Pesos finales'!$G$6+I80*'Pesos finales'!$G$7+J80*'Pesos finales'!$G$8+'Pesos finales'!$G$12)</f>
        <v/>
      </c>
      <c r="Q80" s="7">
        <f>TANH(G80*'Pesos finales'!$H$5+H80*'Pesos finales'!$H$6+I80*'Pesos finales'!$H$7+J80*'Pesos finales'!$H$8+'Pesos finales'!$H$12)</f>
        <v/>
      </c>
      <c r="R80" s="7">
        <f>TANH(G80*'Pesos finales'!$I$5+H80*'Pesos finales'!$I$6+I80*'Pesos finales'!$I$7+J80*'Pesos finales'!$I$8+'Pesos finales'!$I$12)</f>
        <v/>
      </c>
      <c r="S80" s="7">
        <f>K80*'Pesos finales'!$B$16+L80*'Pesos finales'!$B$17+M80*'Pesos finales'!$B$18+N80*'Pesos finales'!$B$19+O80*'Pesos finales'!$B$20+P80*'Pesos finales'!$B$21+Q80*'Pesos finales'!$B$22+R80*'Pesos finales'!$B$23+'Pesos finales'!$B$27</f>
        <v/>
      </c>
      <c r="T80" s="7">
        <f>K80*'Pesos finales'!$C$16+L80*'Pesos finales'!$C$17+M80*'Pesos finales'!$C$18+N80*'Pesos finales'!$C$19+O80*'Pesos finales'!$C$20+P80*'Pesos finales'!$C$21+Q80*'Pesos finales'!$C$22+R80*'Pesos finales'!$C$23+'Pesos finales'!$C$27</f>
        <v/>
      </c>
      <c r="U80" s="7">
        <f>K80*'Pesos finales'!$D$16+L80*'Pesos finales'!$D$17+M80*'Pesos finales'!$D$18+N80*'Pesos finales'!$D$19+O80*'Pesos finales'!$D$20+P80*'Pesos finales'!$D$21+Q80*'Pesos finales'!$D$22+R80*'Pesos finales'!$D$23+'Pesos finales'!$D$27</f>
        <v/>
      </c>
      <c r="V80" s="7">
        <f>EXP(S80)/(EXP(S80)+EXP(T80)+EXP(U80))</f>
        <v/>
      </c>
      <c r="W80" s="7">
        <f>EXP(T80)/(EXP(S80)+EXP(T80)+EXP(U80))</f>
        <v/>
      </c>
      <c r="X80" s="7">
        <f>EXP(U80)/(EXP(S80)+EXP(T80)+EXP(U80))</f>
        <v/>
      </c>
      <c r="Y80">
        <f>IF(AND(V80&gt;=W80,V80&gt;=X80),"Iris-setosa",IF(AND(W80&gt;=X80),"Iris-versicolor","Iris-virginica"))</f>
        <v/>
      </c>
      <c r="Z80" t="inlineStr">
        <is>
          <t>Iris-versicolor</t>
        </is>
      </c>
      <c r="AA80">
        <f>IF(Y80=Z80,"Sí","No")</f>
        <v/>
      </c>
      <c r="AB80" s="7" t="n">
        <v>0.0006102978097695606</v>
      </c>
      <c r="AC80" s="7" t="n">
        <v>0.9979563056533315</v>
      </c>
      <c r="AD80" s="7" t="n">
        <v>0.001433396536899043</v>
      </c>
      <c r="AE80" t="inlineStr">
        <is>
          <t>Iris-versicolor</t>
        </is>
      </c>
      <c r="AF80" s="9">
        <f>MAX(ABS(V80-AB80),ABS(W80-AC80),ABS(X80-AD80))</f>
        <v/>
      </c>
      <c r="AG80">
        <f>IF(AND(Y80=AE80,AF80&lt;1E-9),"Sí","No")</f>
        <v/>
      </c>
    </row>
    <row r="81">
      <c r="A81" t="n">
        <v>75</v>
      </c>
      <c r="B81" t="inlineStr">
        <is>
          <t>prueba</t>
        </is>
      </c>
      <c r="C81" t="n">
        <v>6.4</v>
      </c>
      <c r="D81" t="n">
        <v>2.9</v>
      </c>
      <c r="E81" t="n">
        <v>4.3</v>
      </c>
      <c r="F81" t="n">
        <v>1.3</v>
      </c>
      <c r="G81" s="7">
        <f>(C81-'Pesos finales'!$B$31)/'Pesos finales'!$B$32</f>
        <v/>
      </c>
      <c r="H81" s="7">
        <f>(D81-'Pesos finales'!$C$31)/'Pesos finales'!$C$32</f>
        <v/>
      </c>
      <c r="I81" s="7">
        <f>(E81-'Pesos finales'!$D$31)/'Pesos finales'!$D$32</f>
        <v/>
      </c>
      <c r="J81" s="7">
        <f>(F81-'Pesos finales'!$E$31)/'Pesos finales'!$E$32</f>
        <v/>
      </c>
      <c r="K81" s="7">
        <f>TANH(G81*'Pesos finales'!$B$5+H81*'Pesos finales'!$B$6+I81*'Pesos finales'!$B$7+J81*'Pesos finales'!$B$8+'Pesos finales'!$B$12)</f>
        <v/>
      </c>
      <c r="L81" s="7">
        <f>TANH(G81*'Pesos finales'!$C$5+H81*'Pesos finales'!$C$6+I81*'Pesos finales'!$C$7+J81*'Pesos finales'!$C$8+'Pesos finales'!$C$12)</f>
        <v/>
      </c>
      <c r="M81" s="7">
        <f>TANH(G81*'Pesos finales'!$D$5+H81*'Pesos finales'!$D$6+I81*'Pesos finales'!$D$7+J81*'Pesos finales'!$D$8+'Pesos finales'!$D$12)</f>
        <v/>
      </c>
      <c r="N81" s="7">
        <f>TANH(G81*'Pesos finales'!$E$5+H81*'Pesos finales'!$E$6+I81*'Pesos finales'!$E$7+J81*'Pesos finales'!$E$8+'Pesos finales'!$E$12)</f>
        <v/>
      </c>
      <c r="O81" s="7">
        <f>TANH(G81*'Pesos finales'!$F$5+H81*'Pesos finales'!$F$6+I81*'Pesos finales'!$F$7+J81*'Pesos finales'!$F$8+'Pesos finales'!$F$12)</f>
        <v/>
      </c>
      <c r="P81" s="7">
        <f>TANH(G81*'Pesos finales'!$G$5+H81*'Pesos finales'!$G$6+I81*'Pesos finales'!$G$7+J81*'Pesos finales'!$G$8+'Pesos finales'!$G$12)</f>
        <v/>
      </c>
      <c r="Q81" s="7">
        <f>TANH(G81*'Pesos finales'!$H$5+H81*'Pesos finales'!$H$6+I81*'Pesos finales'!$H$7+J81*'Pesos finales'!$H$8+'Pesos finales'!$H$12)</f>
        <v/>
      </c>
      <c r="R81" s="7">
        <f>TANH(G81*'Pesos finales'!$I$5+H81*'Pesos finales'!$I$6+I81*'Pesos finales'!$I$7+J81*'Pesos finales'!$I$8+'Pesos finales'!$I$12)</f>
        <v/>
      </c>
      <c r="S81" s="7">
        <f>K81*'Pesos finales'!$B$16+L81*'Pesos finales'!$B$17+M81*'Pesos finales'!$B$18+N81*'Pesos finales'!$B$19+O81*'Pesos finales'!$B$20+P81*'Pesos finales'!$B$21+Q81*'Pesos finales'!$B$22+R81*'Pesos finales'!$B$23+'Pesos finales'!$B$27</f>
        <v/>
      </c>
      <c r="T81" s="7">
        <f>K81*'Pesos finales'!$C$16+L81*'Pesos finales'!$C$17+M81*'Pesos finales'!$C$18+N81*'Pesos finales'!$C$19+O81*'Pesos finales'!$C$20+P81*'Pesos finales'!$C$21+Q81*'Pesos finales'!$C$22+R81*'Pesos finales'!$C$23+'Pesos finales'!$C$27</f>
        <v/>
      </c>
      <c r="U81" s="7">
        <f>K81*'Pesos finales'!$D$16+L81*'Pesos finales'!$D$17+M81*'Pesos finales'!$D$18+N81*'Pesos finales'!$D$19+O81*'Pesos finales'!$D$20+P81*'Pesos finales'!$D$21+Q81*'Pesos finales'!$D$22+R81*'Pesos finales'!$D$23+'Pesos finales'!$D$27</f>
        <v/>
      </c>
      <c r="V81" s="7">
        <f>EXP(S81)/(EXP(S81)+EXP(T81)+EXP(U81))</f>
        <v/>
      </c>
      <c r="W81" s="7">
        <f>EXP(T81)/(EXP(S81)+EXP(T81)+EXP(U81))</f>
        <v/>
      </c>
      <c r="X81" s="7">
        <f>EXP(U81)/(EXP(S81)+EXP(T81)+EXP(U81))</f>
        <v/>
      </c>
      <c r="Y81">
        <f>IF(AND(V81&gt;=W81,V81&gt;=X81),"Iris-setosa",IF(AND(W81&gt;=X81),"Iris-versicolor","Iris-virginica"))</f>
        <v/>
      </c>
      <c r="Z81" t="inlineStr">
        <is>
          <t>Iris-versicolor</t>
        </is>
      </c>
      <c r="AA81">
        <f>IF(Y81=Z81,"Sí","No")</f>
        <v/>
      </c>
      <c r="AB81" s="7" t="n">
        <v>0.0006042555424645432</v>
      </c>
      <c r="AC81" s="7" t="n">
        <v>0.9988536169119083</v>
      </c>
      <c r="AD81" s="7" t="n">
        <v>0.0005421275456271513</v>
      </c>
      <c r="AE81" t="inlineStr">
        <is>
          <t>Iris-versicolor</t>
        </is>
      </c>
      <c r="AF81" s="9">
        <f>MAX(ABS(V81-AB81),ABS(W81-AC81),ABS(X81-AD81))</f>
        <v/>
      </c>
      <c r="AG81">
        <f>IF(AND(Y81=AE81,AF81&lt;1E-9),"Sí","No")</f>
        <v/>
      </c>
    </row>
    <row r="82">
      <c r="A82" t="n">
        <v>76</v>
      </c>
      <c r="B82" t="inlineStr">
        <is>
          <t>entrenamiento</t>
        </is>
      </c>
      <c r="C82" t="n">
        <v>6.6</v>
      </c>
      <c r="D82" t="n">
        <v>3</v>
      </c>
      <c r="E82" t="n">
        <v>4.4</v>
      </c>
      <c r="F82" t="n">
        <v>1.4</v>
      </c>
      <c r="G82" s="7">
        <f>(C82-'Pesos finales'!$B$31)/'Pesos finales'!$B$32</f>
        <v/>
      </c>
      <c r="H82" s="7">
        <f>(D82-'Pesos finales'!$C$31)/'Pesos finales'!$C$32</f>
        <v/>
      </c>
      <c r="I82" s="7">
        <f>(E82-'Pesos finales'!$D$31)/'Pesos finales'!$D$32</f>
        <v/>
      </c>
      <c r="J82" s="7">
        <f>(F82-'Pesos finales'!$E$31)/'Pesos finales'!$E$32</f>
        <v/>
      </c>
      <c r="K82" s="7">
        <f>TANH(G82*'Pesos finales'!$B$5+H82*'Pesos finales'!$B$6+I82*'Pesos finales'!$B$7+J82*'Pesos finales'!$B$8+'Pesos finales'!$B$12)</f>
        <v/>
      </c>
      <c r="L82" s="7">
        <f>TANH(G82*'Pesos finales'!$C$5+H82*'Pesos finales'!$C$6+I82*'Pesos finales'!$C$7+J82*'Pesos finales'!$C$8+'Pesos finales'!$C$12)</f>
        <v/>
      </c>
      <c r="M82" s="7">
        <f>TANH(G82*'Pesos finales'!$D$5+H82*'Pesos finales'!$D$6+I82*'Pesos finales'!$D$7+J82*'Pesos finales'!$D$8+'Pesos finales'!$D$12)</f>
        <v/>
      </c>
      <c r="N82" s="7">
        <f>TANH(G82*'Pesos finales'!$E$5+H82*'Pesos finales'!$E$6+I82*'Pesos finales'!$E$7+J82*'Pesos finales'!$E$8+'Pesos finales'!$E$12)</f>
        <v/>
      </c>
      <c r="O82" s="7">
        <f>TANH(G82*'Pesos finales'!$F$5+H82*'Pesos finales'!$F$6+I82*'Pesos finales'!$F$7+J82*'Pesos finales'!$F$8+'Pesos finales'!$F$12)</f>
        <v/>
      </c>
      <c r="P82" s="7">
        <f>TANH(G82*'Pesos finales'!$G$5+H82*'Pesos finales'!$G$6+I82*'Pesos finales'!$G$7+J82*'Pesos finales'!$G$8+'Pesos finales'!$G$12)</f>
        <v/>
      </c>
      <c r="Q82" s="7">
        <f>TANH(G82*'Pesos finales'!$H$5+H82*'Pesos finales'!$H$6+I82*'Pesos finales'!$H$7+J82*'Pesos finales'!$H$8+'Pesos finales'!$H$12)</f>
        <v/>
      </c>
      <c r="R82" s="7">
        <f>TANH(G82*'Pesos finales'!$I$5+H82*'Pesos finales'!$I$6+I82*'Pesos finales'!$I$7+J82*'Pesos finales'!$I$8+'Pesos finales'!$I$12)</f>
        <v/>
      </c>
      <c r="S82" s="7">
        <f>K82*'Pesos finales'!$B$16+L82*'Pesos finales'!$B$17+M82*'Pesos finales'!$B$18+N82*'Pesos finales'!$B$19+O82*'Pesos finales'!$B$20+P82*'Pesos finales'!$B$21+Q82*'Pesos finales'!$B$22+R82*'Pesos finales'!$B$23+'Pesos finales'!$B$27</f>
        <v/>
      </c>
      <c r="T82" s="7">
        <f>K82*'Pesos finales'!$C$16+L82*'Pesos finales'!$C$17+M82*'Pesos finales'!$C$18+N82*'Pesos finales'!$C$19+O82*'Pesos finales'!$C$20+P82*'Pesos finales'!$C$21+Q82*'Pesos finales'!$C$22+R82*'Pesos finales'!$C$23+'Pesos finales'!$C$27</f>
        <v/>
      </c>
      <c r="U82" s="7">
        <f>K82*'Pesos finales'!$D$16+L82*'Pesos finales'!$D$17+M82*'Pesos finales'!$D$18+N82*'Pesos finales'!$D$19+O82*'Pesos finales'!$D$20+P82*'Pesos finales'!$D$21+Q82*'Pesos finales'!$D$22+R82*'Pesos finales'!$D$23+'Pesos finales'!$D$27</f>
        <v/>
      </c>
      <c r="V82" s="7">
        <f>EXP(S82)/(EXP(S82)+EXP(T82)+EXP(U82))</f>
        <v/>
      </c>
      <c r="W82" s="7">
        <f>EXP(T82)/(EXP(S82)+EXP(T82)+EXP(U82))</f>
        <v/>
      </c>
      <c r="X82" s="7">
        <f>EXP(U82)/(EXP(S82)+EXP(T82)+EXP(U82))</f>
        <v/>
      </c>
      <c r="Y82">
        <f>IF(AND(V82&gt;=W82,V82&gt;=X82),"Iris-setosa",IF(AND(W82&gt;=X82),"Iris-versicolor","Iris-virginica"))</f>
        <v/>
      </c>
      <c r="Z82" t="inlineStr">
        <is>
          <t>Iris-versicolor</t>
        </is>
      </c>
      <c r="AA82">
        <f>IF(Y82=Z82,"Sí","No")</f>
        <v/>
      </c>
      <c r="AB82" s="7" t="n">
        <v>0.0005083926700207423</v>
      </c>
      <c r="AC82" s="7" t="n">
        <v>0.9982775830953824</v>
      </c>
      <c r="AD82" s="7" t="n">
        <v>0.001214024234596665</v>
      </c>
      <c r="AE82" t="inlineStr">
        <is>
          <t>Iris-versicolor</t>
        </is>
      </c>
      <c r="AF82" s="9">
        <f>MAX(ABS(V82-AB82),ABS(W82-AC82),ABS(X82-AD82))</f>
        <v/>
      </c>
      <c r="AG82">
        <f>IF(AND(Y82=AE82,AF82&lt;1E-9),"Sí","No")</f>
        <v/>
      </c>
    </row>
    <row r="83">
      <c r="A83" t="n">
        <v>77</v>
      </c>
      <c r="B83" t="inlineStr">
        <is>
          <t>entrenamiento</t>
        </is>
      </c>
      <c r="C83" t="n">
        <v>6.8</v>
      </c>
      <c r="D83" t="n">
        <v>2.8</v>
      </c>
      <c r="E83" t="n">
        <v>4.8</v>
      </c>
      <c r="F83" t="n">
        <v>1.4</v>
      </c>
      <c r="G83" s="7">
        <f>(C83-'Pesos finales'!$B$31)/'Pesos finales'!$B$32</f>
        <v/>
      </c>
      <c r="H83" s="7">
        <f>(D83-'Pesos finales'!$C$31)/'Pesos finales'!$C$32</f>
        <v/>
      </c>
      <c r="I83" s="7">
        <f>(E83-'Pesos finales'!$D$31)/'Pesos finales'!$D$32</f>
        <v/>
      </c>
      <c r="J83" s="7">
        <f>(F83-'Pesos finales'!$E$31)/'Pesos finales'!$E$32</f>
        <v/>
      </c>
      <c r="K83" s="7">
        <f>TANH(G83*'Pesos finales'!$B$5+H83*'Pesos finales'!$B$6+I83*'Pesos finales'!$B$7+J83*'Pesos finales'!$B$8+'Pesos finales'!$B$12)</f>
        <v/>
      </c>
      <c r="L83" s="7">
        <f>TANH(G83*'Pesos finales'!$C$5+H83*'Pesos finales'!$C$6+I83*'Pesos finales'!$C$7+J83*'Pesos finales'!$C$8+'Pesos finales'!$C$12)</f>
        <v/>
      </c>
      <c r="M83" s="7">
        <f>TANH(G83*'Pesos finales'!$D$5+H83*'Pesos finales'!$D$6+I83*'Pesos finales'!$D$7+J83*'Pesos finales'!$D$8+'Pesos finales'!$D$12)</f>
        <v/>
      </c>
      <c r="N83" s="7">
        <f>TANH(G83*'Pesos finales'!$E$5+H83*'Pesos finales'!$E$6+I83*'Pesos finales'!$E$7+J83*'Pesos finales'!$E$8+'Pesos finales'!$E$12)</f>
        <v/>
      </c>
      <c r="O83" s="7">
        <f>TANH(G83*'Pesos finales'!$F$5+H83*'Pesos finales'!$F$6+I83*'Pesos finales'!$F$7+J83*'Pesos finales'!$F$8+'Pesos finales'!$F$12)</f>
        <v/>
      </c>
      <c r="P83" s="7">
        <f>TANH(G83*'Pesos finales'!$G$5+H83*'Pesos finales'!$G$6+I83*'Pesos finales'!$G$7+J83*'Pesos finales'!$G$8+'Pesos finales'!$G$12)</f>
        <v/>
      </c>
      <c r="Q83" s="7">
        <f>TANH(G83*'Pesos finales'!$H$5+H83*'Pesos finales'!$H$6+I83*'Pesos finales'!$H$7+J83*'Pesos finales'!$H$8+'Pesos finales'!$H$12)</f>
        <v/>
      </c>
      <c r="R83" s="7">
        <f>TANH(G83*'Pesos finales'!$I$5+H83*'Pesos finales'!$I$6+I83*'Pesos finales'!$I$7+J83*'Pesos finales'!$I$8+'Pesos finales'!$I$12)</f>
        <v/>
      </c>
      <c r="S83" s="7">
        <f>K83*'Pesos finales'!$B$16+L83*'Pesos finales'!$B$17+M83*'Pesos finales'!$B$18+N83*'Pesos finales'!$B$19+O83*'Pesos finales'!$B$20+P83*'Pesos finales'!$B$21+Q83*'Pesos finales'!$B$22+R83*'Pesos finales'!$B$23+'Pesos finales'!$B$27</f>
        <v/>
      </c>
      <c r="T83" s="7">
        <f>K83*'Pesos finales'!$C$16+L83*'Pesos finales'!$C$17+M83*'Pesos finales'!$C$18+N83*'Pesos finales'!$C$19+O83*'Pesos finales'!$C$20+P83*'Pesos finales'!$C$21+Q83*'Pesos finales'!$C$22+R83*'Pesos finales'!$C$23+'Pesos finales'!$C$27</f>
        <v/>
      </c>
      <c r="U83" s="7">
        <f>K83*'Pesos finales'!$D$16+L83*'Pesos finales'!$D$17+M83*'Pesos finales'!$D$18+N83*'Pesos finales'!$D$19+O83*'Pesos finales'!$D$20+P83*'Pesos finales'!$D$21+Q83*'Pesos finales'!$D$22+R83*'Pesos finales'!$D$23+'Pesos finales'!$D$27</f>
        <v/>
      </c>
      <c r="V83" s="7">
        <f>EXP(S83)/(EXP(S83)+EXP(T83)+EXP(U83))</f>
        <v/>
      </c>
      <c r="W83" s="7">
        <f>EXP(T83)/(EXP(S83)+EXP(T83)+EXP(U83))</f>
        <v/>
      </c>
      <c r="X83" s="7">
        <f>EXP(U83)/(EXP(S83)+EXP(T83)+EXP(U83))</f>
        <v/>
      </c>
      <c r="Y83">
        <f>IF(AND(V83&gt;=W83,V83&gt;=X83),"Iris-setosa",IF(AND(W83&gt;=X83),"Iris-versicolor","Iris-virginica"))</f>
        <v/>
      </c>
      <c r="Z83" t="inlineStr">
        <is>
          <t>Iris-versicolor</t>
        </is>
      </c>
      <c r="AA83">
        <f>IF(Y83=Z83,"Sí","No")</f>
        <v/>
      </c>
      <c r="AB83" s="7" t="n">
        <v>0.0002692806971806924</v>
      </c>
      <c r="AC83" s="7" t="n">
        <v>0.9872529306792203</v>
      </c>
      <c r="AD83" s="7" t="n">
        <v>0.01247778862359907</v>
      </c>
      <c r="AE83" t="inlineStr">
        <is>
          <t>Iris-versicolor</t>
        </is>
      </c>
      <c r="AF83" s="9">
        <f>MAX(ABS(V83-AB83),ABS(W83-AC83),ABS(X83-AD83))</f>
        <v/>
      </c>
      <c r="AG83">
        <f>IF(AND(Y83=AE83,AF83&lt;1E-9),"Sí","No")</f>
        <v/>
      </c>
    </row>
    <row r="84">
      <c r="A84" t="n">
        <v>78</v>
      </c>
      <c r="B84" t="inlineStr">
        <is>
          <t>entrenamiento</t>
        </is>
      </c>
      <c r="C84" t="n">
        <v>6.7</v>
      </c>
      <c r="D84" t="n">
        <v>3</v>
      </c>
      <c r="E84" t="n">
        <v>5</v>
      </c>
      <c r="F84" t="n">
        <v>1.7</v>
      </c>
      <c r="G84" s="7">
        <f>(C84-'Pesos finales'!$B$31)/'Pesos finales'!$B$32</f>
        <v/>
      </c>
      <c r="H84" s="7">
        <f>(D84-'Pesos finales'!$C$31)/'Pesos finales'!$C$32</f>
        <v/>
      </c>
      <c r="I84" s="7">
        <f>(E84-'Pesos finales'!$D$31)/'Pesos finales'!$D$32</f>
        <v/>
      </c>
      <c r="J84" s="7">
        <f>(F84-'Pesos finales'!$E$31)/'Pesos finales'!$E$32</f>
        <v/>
      </c>
      <c r="K84" s="7">
        <f>TANH(G84*'Pesos finales'!$B$5+H84*'Pesos finales'!$B$6+I84*'Pesos finales'!$B$7+J84*'Pesos finales'!$B$8+'Pesos finales'!$B$12)</f>
        <v/>
      </c>
      <c r="L84" s="7">
        <f>TANH(G84*'Pesos finales'!$C$5+H84*'Pesos finales'!$C$6+I84*'Pesos finales'!$C$7+J84*'Pesos finales'!$C$8+'Pesos finales'!$C$12)</f>
        <v/>
      </c>
      <c r="M84" s="7">
        <f>TANH(G84*'Pesos finales'!$D$5+H84*'Pesos finales'!$D$6+I84*'Pesos finales'!$D$7+J84*'Pesos finales'!$D$8+'Pesos finales'!$D$12)</f>
        <v/>
      </c>
      <c r="N84" s="7">
        <f>TANH(G84*'Pesos finales'!$E$5+H84*'Pesos finales'!$E$6+I84*'Pesos finales'!$E$7+J84*'Pesos finales'!$E$8+'Pesos finales'!$E$12)</f>
        <v/>
      </c>
      <c r="O84" s="7">
        <f>TANH(G84*'Pesos finales'!$F$5+H84*'Pesos finales'!$F$6+I84*'Pesos finales'!$F$7+J84*'Pesos finales'!$F$8+'Pesos finales'!$F$12)</f>
        <v/>
      </c>
      <c r="P84" s="7">
        <f>TANH(G84*'Pesos finales'!$G$5+H84*'Pesos finales'!$G$6+I84*'Pesos finales'!$G$7+J84*'Pesos finales'!$G$8+'Pesos finales'!$G$12)</f>
        <v/>
      </c>
      <c r="Q84" s="7">
        <f>TANH(G84*'Pesos finales'!$H$5+H84*'Pesos finales'!$H$6+I84*'Pesos finales'!$H$7+J84*'Pesos finales'!$H$8+'Pesos finales'!$H$12)</f>
        <v/>
      </c>
      <c r="R84" s="7">
        <f>TANH(G84*'Pesos finales'!$I$5+H84*'Pesos finales'!$I$6+I84*'Pesos finales'!$I$7+J84*'Pesos finales'!$I$8+'Pesos finales'!$I$12)</f>
        <v/>
      </c>
      <c r="S84" s="7">
        <f>K84*'Pesos finales'!$B$16+L84*'Pesos finales'!$B$17+M84*'Pesos finales'!$B$18+N84*'Pesos finales'!$B$19+O84*'Pesos finales'!$B$20+P84*'Pesos finales'!$B$21+Q84*'Pesos finales'!$B$22+R84*'Pesos finales'!$B$23+'Pesos finales'!$B$27</f>
        <v/>
      </c>
      <c r="T84" s="7">
        <f>K84*'Pesos finales'!$C$16+L84*'Pesos finales'!$C$17+M84*'Pesos finales'!$C$18+N84*'Pesos finales'!$C$19+O84*'Pesos finales'!$C$20+P84*'Pesos finales'!$C$21+Q84*'Pesos finales'!$C$22+R84*'Pesos finales'!$C$23+'Pesos finales'!$C$27</f>
        <v/>
      </c>
      <c r="U84" s="7">
        <f>K84*'Pesos finales'!$D$16+L84*'Pesos finales'!$D$17+M84*'Pesos finales'!$D$18+N84*'Pesos finales'!$D$19+O84*'Pesos finales'!$D$20+P84*'Pesos finales'!$D$21+Q84*'Pesos finales'!$D$22+R84*'Pesos finales'!$D$23+'Pesos finales'!$D$27</f>
        <v/>
      </c>
      <c r="V84" s="7">
        <f>EXP(S84)/(EXP(S84)+EXP(T84)+EXP(U84))</f>
        <v/>
      </c>
      <c r="W84" s="7">
        <f>EXP(T84)/(EXP(S84)+EXP(T84)+EXP(U84))</f>
        <v/>
      </c>
      <c r="X84" s="7">
        <f>EXP(U84)/(EXP(S84)+EXP(T84)+EXP(U84))</f>
        <v/>
      </c>
      <c r="Y84">
        <f>IF(AND(V84&gt;=W84,V84&gt;=X84),"Iris-setosa",IF(AND(W84&gt;=X84),"Iris-versicolor","Iris-virginica"))</f>
        <v/>
      </c>
      <c r="Z84" t="inlineStr">
        <is>
          <t>Iris-versicolor</t>
        </is>
      </c>
      <c r="AA84">
        <f>IF(Y84=Z84,"Sí","No")</f>
        <v/>
      </c>
      <c r="AB84" s="7" t="n">
        <v>0.0002168110171406225</v>
      </c>
      <c r="AC84" s="7" t="n">
        <v>0.6039335140432913</v>
      </c>
      <c r="AD84" s="7" t="n">
        <v>0.395849674939568</v>
      </c>
      <c r="AE84" t="inlineStr">
        <is>
          <t>Iris-versicolor</t>
        </is>
      </c>
      <c r="AF84" s="9">
        <f>MAX(ABS(V84-AB84),ABS(W84-AC84),ABS(X84-AD84))</f>
        <v/>
      </c>
      <c r="AG84">
        <f>IF(AND(Y84=AE84,AF84&lt;1E-9),"Sí","No")</f>
        <v/>
      </c>
    </row>
    <row r="85">
      <c r="A85" t="n">
        <v>79</v>
      </c>
      <c r="B85" t="inlineStr">
        <is>
          <t>prueba</t>
        </is>
      </c>
      <c r="C85" t="n">
        <v>6</v>
      </c>
      <c r="D85" t="n">
        <v>2.9</v>
      </c>
      <c r="E85" t="n">
        <v>4.5</v>
      </c>
      <c r="F85" t="n">
        <v>1.5</v>
      </c>
      <c r="G85" s="7">
        <f>(C85-'Pesos finales'!$B$31)/'Pesos finales'!$B$32</f>
        <v/>
      </c>
      <c r="H85" s="7">
        <f>(D85-'Pesos finales'!$C$31)/'Pesos finales'!$C$32</f>
        <v/>
      </c>
      <c r="I85" s="7">
        <f>(E85-'Pesos finales'!$D$31)/'Pesos finales'!$D$32</f>
        <v/>
      </c>
      <c r="J85" s="7">
        <f>(F85-'Pesos finales'!$E$31)/'Pesos finales'!$E$32</f>
        <v/>
      </c>
      <c r="K85" s="7">
        <f>TANH(G85*'Pesos finales'!$B$5+H85*'Pesos finales'!$B$6+I85*'Pesos finales'!$B$7+J85*'Pesos finales'!$B$8+'Pesos finales'!$B$12)</f>
        <v/>
      </c>
      <c r="L85" s="7">
        <f>TANH(G85*'Pesos finales'!$C$5+H85*'Pesos finales'!$C$6+I85*'Pesos finales'!$C$7+J85*'Pesos finales'!$C$8+'Pesos finales'!$C$12)</f>
        <v/>
      </c>
      <c r="M85" s="7">
        <f>TANH(G85*'Pesos finales'!$D$5+H85*'Pesos finales'!$D$6+I85*'Pesos finales'!$D$7+J85*'Pesos finales'!$D$8+'Pesos finales'!$D$12)</f>
        <v/>
      </c>
      <c r="N85" s="7">
        <f>TANH(G85*'Pesos finales'!$E$5+H85*'Pesos finales'!$E$6+I85*'Pesos finales'!$E$7+J85*'Pesos finales'!$E$8+'Pesos finales'!$E$12)</f>
        <v/>
      </c>
      <c r="O85" s="7">
        <f>TANH(G85*'Pesos finales'!$F$5+H85*'Pesos finales'!$F$6+I85*'Pesos finales'!$F$7+J85*'Pesos finales'!$F$8+'Pesos finales'!$F$12)</f>
        <v/>
      </c>
      <c r="P85" s="7">
        <f>TANH(G85*'Pesos finales'!$G$5+H85*'Pesos finales'!$G$6+I85*'Pesos finales'!$G$7+J85*'Pesos finales'!$G$8+'Pesos finales'!$G$12)</f>
        <v/>
      </c>
      <c r="Q85" s="7">
        <f>TANH(G85*'Pesos finales'!$H$5+H85*'Pesos finales'!$H$6+I85*'Pesos finales'!$H$7+J85*'Pesos finales'!$H$8+'Pesos finales'!$H$12)</f>
        <v/>
      </c>
      <c r="R85" s="7">
        <f>TANH(G85*'Pesos finales'!$I$5+H85*'Pesos finales'!$I$6+I85*'Pesos finales'!$I$7+J85*'Pesos finales'!$I$8+'Pesos finales'!$I$12)</f>
        <v/>
      </c>
      <c r="S85" s="7">
        <f>K85*'Pesos finales'!$B$16+L85*'Pesos finales'!$B$17+M85*'Pesos finales'!$B$18+N85*'Pesos finales'!$B$19+O85*'Pesos finales'!$B$20+P85*'Pesos finales'!$B$21+Q85*'Pesos finales'!$B$22+R85*'Pesos finales'!$B$23+'Pesos finales'!$B$27</f>
        <v/>
      </c>
      <c r="T85" s="7">
        <f>K85*'Pesos finales'!$C$16+L85*'Pesos finales'!$C$17+M85*'Pesos finales'!$C$18+N85*'Pesos finales'!$C$19+O85*'Pesos finales'!$C$20+P85*'Pesos finales'!$C$21+Q85*'Pesos finales'!$C$22+R85*'Pesos finales'!$C$23+'Pesos finales'!$C$27</f>
        <v/>
      </c>
      <c r="U85" s="7">
        <f>K85*'Pesos finales'!$D$16+L85*'Pesos finales'!$D$17+M85*'Pesos finales'!$D$18+N85*'Pesos finales'!$D$19+O85*'Pesos finales'!$D$20+P85*'Pesos finales'!$D$21+Q85*'Pesos finales'!$D$22+R85*'Pesos finales'!$D$23+'Pesos finales'!$D$27</f>
        <v/>
      </c>
      <c r="V85" s="7">
        <f>EXP(S85)/(EXP(S85)+EXP(T85)+EXP(U85))</f>
        <v/>
      </c>
      <c r="W85" s="7">
        <f>EXP(T85)/(EXP(S85)+EXP(T85)+EXP(U85))</f>
        <v/>
      </c>
      <c r="X85" s="7">
        <f>EXP(U85)/(EXP(S85)+EXP(T85)+EXP(U85))</f>
        <v/>
      </c>
      <c r="Y85">
        <f>IF(AND(V85&gt;=W85,V85&gt;=X85),"Iris-setosa",IF(AND(W85&gt;=X85),"Iris-versicolor","Iris-virginica"))</f>
        <v/>
      </c>
      <c r="Z85" t="inlineStr">
        <is>
          <t>Iris-versicolor</t>
        </is>
      </c>
      <c r="AA85">
        <f>IF(Y85=Z85,"Sí","No")</f>
        <v/>
      </c>
      <c r="AB85" s="7" t="n">
        <v>0.0006752539640647626</v>
      </c>
      <c r="AC85" s="7" t="n">
        <v>0.9867127623353632</v>
      </c>
      <c r="AD85" s="7" t="n">
        <v>0.01261198370057214</v>
      </c>
      <c r="AE85" t="inlineStr">
        <is>
          <t>Iris-versicolor</t>
        </is>
      </c>
      <c r="AF85" s="9">
        <f>MAX(ABS(V85-AB85),ABS(W85-AC85),ABS(X85-AD85))</f>
        <v/>
      </c>
      <c r="AG85">
        <f>IF(AND(Y85=AE85,AF85&lt;1E-9),"Sí","No")</f>
        <v/>
      </c>
    </row>
    <row r="86">
      <c r="A86" t="n">
        <v>80</v>
      </c>
      <c r="B86" t="inlineStr">
        <is>
          <t>entrenamiento</t>
        </is>
      </c>
      <c r="C86" t="n">
        <v>5.7</v>
      </c>
      <c r="D86" t="n">
        <v>2.6</v>
      </c>
      <c r="E86" t="n">
        <v>3.5</v>
      </c>
      <c r="F86" t="n">
        <v>1</v>
      </c>
      <c r="G86" s="7">
        <f>(C86-'Pesos finales'!$B$31)/'Pesos finales'!$B$32</f>
        <v/>
      </c>
      <c r="H86" s="7">
        <f>(D86-'Pesos finales'!$C$31)/'Pesos finales'!$C$32</f>
        <v/>
      </c>
      <c r="I86" s="7">
        <f>(E86-'Pesos finales'!$D$31)/'Pesos finales'!$D$32</f>
        <v/>
      </c>
      <c r="J86" s="7">
        <f>(F86-'Pesos finales'!$E$31)/'Pesos finales'!$E$32</f>
        <v/>
      </c>
      <c r="K86" s="7">
        <f>TANH(G86*'Pesos finales'!$B$5+H86*'Pesos finales'!$B$6+I86*'Pesos finales'!$B$7+J86*'Pesos finales'!$B$8+'Pesos finales'!$B$12)</f>
        <v/>
      </c>
      <c r="L86" s="7">
        <f>TANH(G86*'Pesos finales'!$C$5+H86*'Pesos finales'!$C$6+I86*'Pesos finales'!$C$7+J86*'Pesos finales'!$C$8+'Pesos finales'!$C$12)</f>
        <v/>
      </c>
      <c r="M86" s="7">
        <f>TANH(G86*'Pesos finales'!$D$5+H86*'Pesos finales'!$D$6+I86*'Pesos finales'!$D$7+J86*'Pesos finales'!$D$8+'Pesos finales'!$D$12)</f>
        <v/>
      </c>
      <c r="N86" s="7">
        <f>TANH(G86*'Pesos finales'!$E$5+H86*'Pesos finales'!$E$6+I86*'Pesos finales'!$E$7+J86*'Pesos finales'!$E$8+'Pesos finales'!$E$12)</f>
        <v/>
      </c>
      <c r="O86" s="7">
        <f>TANH(G86*'Pesos finales'!$F$5+H86*'Pesos finales'!$F$6+I86*'Pesos finales'!$F$7+J86*'Pesos finales'!$F$8+'Pesos finales'!$F$12)</f>
        <v/>
      </c>
      <c r="P86" s="7">
        <f>TANH(G86*'Pesos finales'!$G$5+H86*'Pesos finales'!$G$6+I86*'Pesos finales'!$G$7+J86*'Pesos finales'!$G$8+'Pesos finales'!$G$12)</f>
        <v/>
      </c>
      <c r="Q86" s="7">
        <f>TANH(G86*'Pesos finales'!$H$5+H86*'Pesos finales'!$H$6+I86*'Pesos finales'!$H$7+J86*'Pesos finales'!$H$8+'Pesos finales'!$H$12)</f>
        <v/>
      </c>
      <c r="R86" s="7">
        <f>TANH(G86*'Pesos finales'!$I$5+H86*'Pesos finales'!$I$6+I86*'Pesos finales'!$I$7+J86*'Pesos finales'!$I$8+'Pesos finales'!$I$12)</f>
        <v/>
      </c>
      <c r="S86" s="7">
        <f>K86*'Pesos finales'!$B$16+L86*'Pesos finales'!$B$17+M86*'Pesos finales'!$B$18+N86*'Pesos finales'!$B$19+O86*'Pesos finales'!$B$20+P86*'Pesos finales'!$B$21+Q86*'Pesos finales'!$B$22+R86*'Pesos finales'!$B$23+'Pesos finales'!$B$27</f>
        <v/>
      </c>
      <c r="T86" s="7">
        <f>K86*'Pesos finales'!$C$16+L86*'Pesos finales'!$C$17+M86*'Pesos finales'!$C$18+N86*'Pesos finales'!$C$19+O86*'Pesos finales'!$C$20+P86*'Pesos finales'!$C$21+Q86*'Pesos finales'!$C$22+R86*'Pesos finales'!$C$23+'Pesos finales'!$C$27</f>
        <v/>
      </c>
      <c r="U86" s="7">
        <f>K86*'Pesos finales'!$D$16+L86*'Pesos finales'!$D$17+M86*'Pesos finales'!$D$18+N86*'Pesos finales'!$D$19+O86*'Pesos finales'!$D$20+P86*'Pesos finales'!$D$21+Q86*'Pesos finales'!$D$22+R86*'Pesos finales'!$D$23+'Pesos finales'!$D$27</f>
        <v/>
      </c>
      <c r="V86" s="7">
        <f>EXP(S86)/(EXP(S86)+EXP(T86)+EXP(U86))</f>
        <v/>
      </c>
      <c r="W86" s="7">
        <f>EXP(T86)/(EXP(S86)+EXP(T86)+EXP(U86))</f>
        <v/>
      </c>
      <c r="X86" s="7">
        <f>EXP(U86)/(EXP(S86)+EXP(T86)+EXP(U86))</f>
        <v/>
      </c>
      <c r="Y86">
        <f>IF(AND(V86&gt;=W86,V86&gt;=X86),"Iris-setosa",IF(AND(W86&gt;=X86),"Iris-versicolor","Iris-virginica"))</f>
        <v/>
      </c>
      <c r="Z86" t="inlineStr">
        <is>
          <t>Iris-versicolor</t>
        </is>
      </c>
      <c r="AA86">
        <f>IF(Y86=Z86,"Sí","No")</f>
        <v/>
      </c>
      <c r="AB86" s="7" t="n">
        <v>0.002651403482171007</v>
      </c>
      <c r="AC86" s="7" t="n">
        <v>0.9973184106446793</v>
      </c>
      <c r="AD86" s="7" t="n">
        <v>3.018587314967496e-05</v>
      </c>
      <c r="AE86" t="inlineStr">
        <is>
          <t>Iris-versicolor</t>
        </is>
      </c>
      <c r="AF86" s="9">
        <f>MAX(ABS(V86-AB86),ABS(W86-AC86),ABS(X86-AD86))</f>
        <v/>
      </c>
      <c r="AG86">
        <f>IF(AND(Y86=AE86,AF86&lt;1E-9),"Sí","No")</f>
        <v/>
      </c>
    </row>
    <row r="87">
      <c r="A87" t="n">
        <v>81</v>
      </c>
      <c r="B87" t="inlineStr">
        <is>
          <t>prueba</t>
        </is>
      </c>
      <c r="C87" t="n">
        <v>5.5</v>
      </c>
      <c r="D87" t="n">
        <v>2.4</v>
      </c>
      <c r="E87" t="n">
        <v>3.8</v>
      </c>
      <c r="F87" t="n">
        <v>1.1</v>
      </c>
      <c r="G87" s="7">
        <f>(C87-'Pesos finales'!$B$31)/'Pesos finales'!$B$32</f>
        <v/>
      </c>
      <c r="H87" s="7">
        <f>(D87-'Pesos finales'!$C$31)/'Pesos finales'!$C$32</f>
        <v/>
      </c>
      <c r="I87" s="7">
        <f>(E87-'Pesos finales'!$D$31)/'Pesos finales'!$D$32</f>
        <v/>
      </c>
      <c r="J87" s="7">
        <f>(F87-'Pesos finales'!$E$31)/'Pesos finales'!$E$32</f>
        <v/>
      </c>
      <c r="K87" s="7">
        <f>TANH(G87*'Pesos finales'!$B$5+H87*'Pesos finales'!$B$6+I87*'Pesos finales'!$B$7+J87*'Pesos finales'!$B$8+'Pesos finales'!$B$12)</f>
        <v/>
      </c>
      <c r="L87" s="7">
        <f>TANH(G87*'Pesos finales'!$C$5+H87*'Pesos finales'!$C$6+I87*'Pesos finales'!$C$7+J87*'Pesos finales'!$C$8+'Pesos finales'!$C$12)</f>
        <v/>
      </c>
      <c r="M87" s="7">
        <f>TANH(G87*'Pesos finales'!$D$5+H87*'Pesos finales'!$D$6+I87*'Pesos finales'!$D$7+J87*'Pesos finales'!$D$8+'Pesos finales'!$D$12)</f>
        <v/>
      </c>
      <c r="N87" s="7">
        <f>TANH(G87*'Pesos finales'!$E$5+H87*'Pesos finales'!$E$6+I87*'Pesos finales'!$E$7+J87*'Pesos finales'!$E$8+'Pesos finales'!$E$12)</f>
        <v/>
      </c>
      <c r="O87" s="7">
        <f>TANH(G87*'Pesos finales'!$F$5+H87*'Pesos finales'!$F$6+I87*'Pesos finales'!$F$7+J87*'Pesos finales'!$F$8+'Pesos finales'!$F$12)</f>
        <v/>
      </c>
      <c r="P87" s="7">
        <f>TANH(G87*'Pesos finales'!$G$5+H87*'Pesos finales'!$G$6+I87*'Pesos finales'!$G$7+J87*'Pesos finales'!$G$8+'Pesos finales'!$G$12)</f>
        <v/>
      </c>
      <c r="Q87" s="7">
        <f>TANH(G87*'Pesos finales'!$H$5+H87*'Pesos finales'!$H$6+I87*'Pesos finales'!$H$7+J87*'Pesos finales'!$H$8+'Pesos finales'!$H$12)</f>
        <v/>
      </c>
      <c r="R87" s="7">
        <f>TANH(G87*'Pesos finales'!$I$5+H87*'Pesos finales'!$I$6+I87*'Pesos finales'!$I$7+J87*'Pesos finales'!$I$8+'Pesos finales'!$I$12)</f>
        <v/>
      </c>
      <c r="S87" s="7">
        <f>K87*'Pesos finales'!$B$16+L87*'Pesos finales'!$B$17+M87*'Pesos finales'!$B$18+N87*'Pesos finales'!$B$19+O87*'Pesos finales'!$B$20+P87*'Pesos finales'!$B$21+Q87*'Pesos finales'!$B$22+R87*'Pesos finales'!$B$23+'Pesos finales'!$B$27</f>
        <v/>
      </c>
      <c r="T87" s="7">
        <f>K87*'Pesos finales'!$C$16+L87*'Pesos finales'!$C$17+M87*'Pesos finales'!$C$18+N87*'Pesos finales'!$C$19+O87*'Pesos finales'!$C$20+P87*'Pesos finales'!$C$21+Q87*'Pesos finales'!$C$22+R87*'Pesos finales'!$C$23+'Pesos finales'!$C$27</f>
        <v/>
      </c>
      <c r="U87" s="7">
        <f>K87*'Pesos finales'!$D$16+L87*'Pesos finales'!$D$17+M87*'Pesos finales'!$D$18+N87*'Pesos finales'!$D$19+O87*'Pesos finales'!$D$20+P87*'Pesos finales'!$D$21+Q87*'Pesos finales'!$D$22+R87*'Pesos finales'!$D$23+'Pesos finales'!$D$27</f>
        <v/>
      </c>
      <c r="V87" s="7">
        <f>EXP(S87)/(EXP(S87)+EXP(T87)+EXP(U87))</f>
        <v/>
      </c>
      <c r="W87" s="7">
        <f>EXP(T87)/(EXP(S87)+EXP(T87)+EXP(U87))</f>
        <v/>
      </c>
      <c r="X87" s="7">
        <f>EXP(U87)/(EXP(S87)+EXP(T87)+EXP(U87))</f>
        <v/>
      </c>
      <c r="Y87">
        <f>IF(AND(V87&gt;=W87,V87&gt;=X87),"Iris-setosa",IF(AND(W87&gt;=X87),"Iris-versicolor","Iris-virginica"))</f>
        <v/>
      </c>
      <c r="Z87" t="inlineStr">
        <is>
          <t>Iris-versicolor</t>
        </is>
      </c>
      <c r="AA87">
        <f>IF(Y87=Z87,"Sí","No")</f>
        <v/>
      </c>
      <c r="AB87" s="7" t="n">
        <v>0.000878293206338885</v>
      </c>
      <c r="AC87" s="7" t="n">
        <v>0.9989652349627719</v>
      </c>
      <c r="AD87" s="7" t="n">
        <v>0.0001564718308891656</v>
      </c>
      <c r="AE87" t="inlineStr">
        <is>
          <t>Iris-versicolor</t>
        </is>
      </c>
      <c r="AF87" s="9">
        <f>MAX(ABS(V87-AB87),ABS(W87-AC87),ABS(X87-AD87))</f>
        <v/>
      </c>
      <c r="AG87">
        <f>IF(AND(Y87=AE87,AF87&lt;1E-9),"Sí","No")</f>
        <v/>
      </c>
    </row>
    <row r="88">
      <c r="A88" t="n">
        <v>82</v>
      </c>
      <c r="B88" t="inlineStr">
        <is>
          <t>entrenamiento</t>
        </is>
      </c>
      <c r="C88" t="n">
        <v>5.5</v>
      </c>
      <c r="D88" t="n">
        <v>2.4</v>
      </c>
      <c r="E88" t="n">
        <v>3.7</v>
      </c>
      <c r="F88" t="n">
        <v>1</v>
      </c>
      <c r="G88" s="7">
        <f>(C88-'Pesos finales'!$B$31)/'Pesos finales'!$B$32</f>
        <v/>
      </c>
      <c r="H88" s="7">
        <f>(D88-'Pesos finales'!$C$31)/'Pesos finales'!$C$32</f>
        <v/>
      </c>
      <c r="I88" s="7">
        <f>(E88-'Pesos finales'!$D$31)/'Pesos finales'!$D$32</f>
        <v/>
      </c>
      <c r="J88" s="7">
        <f>(F88-'Pesos finales'!$E$31)/'Pesos finales'!$E$32</f>
        <v/>
      </c>
      <c r="K88" s="7">
        <f>TANH(G88*'Pesos finales'!$B$5+H88*'Pesos finales'!$B$6+I88*'Pesos finales'!$B$7+J88*'Pesos finales'!$B$8+'Pesos finales'!$B$12)</f>
        <v/>
      </c>
      <c r="L88" s="7">
        <f>TANH(G88*'Pesos finales'!$C$5+H88*'Pesos finales'!$C$6+I88*'Pesos finales'!$C$7+J88*'Pesos finales'!$C$8+'Pesos finales'!$C$12)</f>
        <v/>
      </c>
      <c r="M88" s="7">
        <f>TANH(G88*'Pesos finales'!$D$5+H88*'Pesos finales'!$D$6+I88*'Pesos finales'!$D$7+J88*'Pesos finales'!$D$8+'Pesos finales'!$D$12)</f>
        <v/>
      </c>
      <c r="N88" s="7">
        <f>TANH(G88*'Pesos finales'!$E$5+H88*'Pesos finales'!$E$6+I88*'Pesos finales'!$E$7+J88*'Pesos finales'!$E$8+'Pesos finales'!$E$12)</f>
        <v/>
      </c>
      <c r="O88" s="7">
        <f>TANH(G88*'Pesos finales'!$F$5+H88*'Pesos finales'!$F$6+I88*'Pesos finales'!$F$7+J88*'Pesos finales'!$F$8+'Pesos finales'!$F$12)</f>
        <v/>
      </c>
      <c r="P88" s="7">
        <f>TANH(G88*'Pesos finales'!$G$5+H88*'Pesos finales'!$G$6+I88*'Pesos finales'!$G$7+J88*'Pesos finales'!$G$8+'Pesos finales'!$G$12)</f>
        <v/>
      </c>
      <c r="Q88" s="7">
        <f>TANH(G88*'Pesos finales'!$H$5+H88*'Pesos finales'!$H$6+I88*'Pesos finales'!$H$7+J88*'Pesos finales'!$H$8+'Pesos finales'!$H$12)</f>
        <v/>
      </c>
      <c r="R88" s="7">
        <f>TANH(G88*'Pesos finales'!$I$5+H88*'Pesos finales'!$I$6+I88*'Pesos finales'!$I$7+J88*'Pesos finales'!$I$8+'Pesos finales'!$I$12)</f>
        <v/>
      </c>
      <c r="S88" s="7">
        <f>K88*'Pesos finales'!$B$16+L88*'Pesos finales'!$B$17+M88*'Pesos finales'!$B$18+N88*'Pesos finales'!$B$19+O88*'Pesos finales'!$B$20+P88*'Pesos finales'!$B$21+Q88*'Pesos finales'!$B$22+R88*'Pesos finales'!$B$23+'Pesos finales'!$B$27</f>
        <v/>
      </c>
      <c r="T88" s="7">
        <f>K88*'Pesos finales'!$C$16+L88*'Pesos finales'!$C$17+M88*'Pesos finales'!$C$18+N88*'Pesos finales'!$C$19+O88*'Pesos finales'!$C$20+P88*'Pesos finales'!$C$21+Q88*'Pesos finales'!$C$22+R88*'Pesos finales'!$C$23+'Pesos finales'!$C$27</f>
        <v/>
      </c>
      <c r="U88" s="7">
        <f>K88*'Pesos finales'!$D$16+L88*'Pesos finales'!$D$17+M88*'Pesos finales'!$D$18+N88*'Pesos finales'!$D$19+O88*'Pesos finales'!$D$20+P88*'Pesos finales'!$D$21+Q88*'Pesos finales'!$D$22+R88*'Pesos finales'!$D$23+'Pesos finales'!$D$27</f>
        <v/>
      </c>
      <c r="V88" s="7">
        <f>EXP(S88)/(EXP(S88)+EXP(T88)+EXP(U88))</f>
        <v/>
      </c>
      <c r="W88" s="7">
        <f>EXP(T88)/(EXP(S88)+EXP(T88)+EXP(U88))</f>
        <v/>
      </c>
      <c r="X88" s="7">
        <f>EXP(U88)/(EXP(S88)+EXP(T88)+EXP(U88))</f>
        <v/>
      </c>
      <c r="Y88">
        <f>IF(AND(V88&gt;=W88,V88&gt;=X88),"Iris-setosa",IF(AND(W88&gt;=X88),"Iris-versicolor","Iris-virginica"))</f>
        <v/>
      </c>
      <c r="Z88" t="inlineStr">
        <is>
          <t>Iris-versicolor</t>
        </is>
      </c>
      <c r="AA88">
        <f>IF(Y88=Z88,"Sí","No")</f>
        <v/>
      </c>
      <c r="AB88" s="7" t="n">
        <v>0.001221802717452054</v>
      </c>
      <c r="AC88" s="7" t="n">
        <v>0.9987137213596508</v>
      </c>
      <c r="AD88" s="7" t="n">
        <v>6.447592289713547e-05</v>
      </c>
      <c r="AE88" t="inlineStr">
        <is>
          <t>Iris-versicolor</t>
        </is>
      </c>
      <c r="AF88" s="9">
        <f>MAX(ABS(V88-AB88),ABS(W88-AC88),ABS(X88-AD88))</f>
        <v/>
      </c>
      <c r="AG88">
        <f>IF(AND(Y88=AE88,AF88&lt;1E-9),"Sí","No")</f>
        <v/>
      </c>
    </row>
    <row r="89">
      <c r="A89" t="n">
        <v>83</v>
      </c>
      <c r="B89" t="inlineStr">
        <is>
          <t>entrenamiento</t>
        </is>
      </c>
      <c r="C89" t="n">
        <v>5.8</v>
      </c>
      <c r="D89" t="n">
        <v>2.7</v>
      </c>
      <c r="E89" t="n">
        <v>3.9</v>
      </c>
      <c r="F89" t="n">
        <v>1.2</v>
      </c>
      <c r="G89" s="7">
        <f>(C89-'Pesos finales'!$B$31)/'Pesos finales'!$B$32</f>
        <v/>
      </c>
      <c r="H89" s="7">
        <f>(D89-'Pesos finales'!$C$31)/'Pesos finales'!$C$32</f>
        <v/>
      </c>
      <c r="I89" s="7">
        <f>(E89-'Pesos finales'!$D$31)/'Pesos finales'!$D$32</f>
        <v/>
      </c>
      <c r="J89" s="7">
        <f>(F89-'Pesos finales'!$E$31)/'Pesos finales'!$E$32</f>
        <v/>
      </c>
      <c r="K89" s="7">
        <f>TANH(G89*'Pesos finales'!$B$5+H89*'Pesos finales'!$B$6+I89*'Pesos finales'!$B$7+J89*'Pesos finales'!$B$8+'Pesos finales'!$B$12)</f>
        <v/>
      </c>
      <c r="L89" s="7">
        <f>TANH(G89*'Pesos finales'!$C$5+H89*'Pesos finales'!$C$6+I89*'Pesos finales'!$C$7+J89*'Pesos finales'!$C$8+'Pesos finales'!$C$12)</f>
        <v/>
      </c>
      <c r="M89" s="7">
        <f>TANH(G89*'Pesos finales'!$D$5+H89*'Pesos finales'!$D$6+I89*'Pesos finales'!$D$7+J89*'Pesos finales'!$D$8+'Pesos finales'!$D$12)</f>
        <v/>
      </c>
      <c r="N89" s="7">
        <f>TANH(G89*'Pesos finales'!$E$5+H89*'Pesos finales'!$E$6+I89*'Pesos finales'!$E$7+J89*'Pesos finales'!$E$8+'Pesos finales'!$E$12)</f>
        <v/>
      </c>
      <c r="O89" s="7">
        <f>TANH(G89*'Pesos finales'!$F$5+H89*'Pesos finales'!$F$6+I89*'Pesos finales'!$F$7+J89*'Pesos finales'!$F$8+'Pesos finales'!$F$12)</f>
        <v/>
      </c>
      <c r="P89" s="7">
        <f>TANH(G89*'Pesos finales'!$G$5+H89*'Pesos finales'!$G$6+I89*'Pesos finales'!$G$7+J89*'Pesos finales'!$G$8+'Pesos finales'!$G$12)</f>
        <v/>
      </c>
      <c r="Q89" s="7">
        <f>TANH(G89*'Pesos finales'!$H$5+H89*'Pesos finales'!$H$6+I89*'Pesos finales'!$H$7+J89*'Pesos finales'!$H$8+'Pesos finales'!$H$12)</f>
        <v/>
      </c>
      <c r="R89" s="7">
        <f>TANH(G89*'Pesos finales'!$I$5+H89*'Pesos finales'!$I$6+I89*'Pesos finales'!$I$7+J89*'Pesos finales'!$I$8+'Pesos finales'!$I$12)</f>
        <v/>
      </c>
      <c r="S89" s="7">
        <f>K89*'Pesos finales'!$B$16+L89*'Pesos finales'!$B$17+M89*'Pesos finales'!$B$18+N89*'Pesos finales'!$B$19+O89*'Pesos finales'!$B$20+P89*'Pesos finales'!$B$21+Q89*'Pesos finales'!$B$22+R89*'Pesos finales'!$B$23+'Pesos finales'!$B$27</f>
        <v/>
      </c>
      <c r="T89" s="7">
        <f>K89*'Pesos finales'!$C$16+L89*'Pesos finales'!$C$17+M89*'Pesos finales'!$C$18+N89*'Pesos finales'!$C$19+O89*'Pesos finales'!$C$20+P89*'Pesos finales'!$C$21+Q89*'Pesos finales'!$C$22+R89*'Pesos finales'!$C$23+'Pesos finales'!$C$27</f>
        <v/>
      </c>
      <c r="U89" s="7">
        <f>K89*'Pesos finales'!$D$16+L89*'Pesos finales'!$D$17+M89*'Pesos finales'!$D$18+N89*'Pesos finales'!$D$19+O89*'Pesos finales'!$D$20+P89*'Pesos finales'!$D$21+Q89*'Pesos finales'!$D$22+R89*'Pesos finales'!$D$23+'Pesos finales'!$D$27</f>
        <v/>
      </c>
      <c r="V89" s="7">
        <f>EXP(S89)/(EXP(S89)+EXP(T89)+EXP(U89))</f>
        <v/>
      </c>
      <c r="W89" s="7">
        <f>EXP(T89)/(EXP(S89)+EXP(T89)+EXP(U89))</f>
        <v/>
      </c>
      <c r="X89" s="7">
        <f>EXP(U89)/(EXP(S89)+EXP(T89)+EXP(U89))</f>
        <v/>
      </c>
      <c r="Y89">
        <f>IF(AND(V89&gt;=W89,V89&gt;=X89),"Iris-setosa",IF(AND(W89&gt;=X89),"Iris-versicolor","Iris-virginica"))</f>
        <v/>
      </c>
      <c r="Z89" t="inlineStr">
        <is>
          <t>Iris-versicolor</t>
        </is>
      </c>
      <c r="AA89">
        <f>IF(Y89=Z89,"Sí","No")</f>
        <v/>
      </c>
      <c r="AB89" s="7" t="n">
        <v>0.001172712573521152</v>
      </c>
      <c r="AC89" s="7" t="n">
        <v>0.9986700978984361</v>
      </c>
      <c r="AD89" s="7" t="n">
        <v>0.0001571895280428218</v>
      </c>
      <c r="AE89" t="inlineStr">
        <is>
          <t>Iris-versicolor</t>
        </is>
      </c>
      <c r="AF89" s="9">
        <f>MAX(ABS(V89-AB89),ABS(W89-AC89),ABS(X89-AD89))</f>
        <v/>
      </c>
      <c r="AG89">
        <f>IF(AND(Y89=AE89,AF89&lt;1E-9),"Sí","No")</f>
        <v/>
      </c>
    </row>
    <row r="90">
      <c r="A90" t="n">
        <v>84</v>
      </c>
      <c r="B90" t="inlineStr">
        <is>
          <t>entrenamiento</t>
        </is>
      </c>
      <c r="C90" t="n">
        <v>6</v>
      </c>
      <c r="D90" t="n">
        <v>2.7</v>
      </c>
      <c r="E90" t="n">
        <v>5.1</v>
      </c>
      <c r="F90" t="n">
        <v>1.6</v>
      </c>
      <c r="G90" s="7">
        <f>(C90-'Pesos finales'!$B$31)/'Pesos finales'!$B$32</f>
        <v/>
      </c>
      <c r="H90" s="7">
        <f>(D90-'Pesos finales'!$C$31)/'Pesos finales'!$C$32</f>
        <v/>
      </c>
      <c r="I90" s="7">
        <f>(E90-'Pesos finales'!$D$31)/'Pesos finales'!$D$32</f>
        <v/>
      </c>
      <c r="J90" s="7">
        <f>(F90-'Pesos finales'!$E$31)/'Pesos finales'!$E$32</f>
        <v/>
      </c>
      <c r="K90" s="7">
        <f>TANH(G90*'Pesos finales'!$B$5+H90*'Pesos finales'!$B$6+I90*'Pesos finales'!$B$7+J90*'Pesos finales'!$B$8+'Pesos finales'!$B$12)</f>
        <v/>
      </c>
      <c r="L90" s="7">
        <f>TANH(G90*'Pesos finales'!$C$5+H90*'Pesos finales'!$C$6+I90*'Pesos finales'!$C$7+J90*'Pesos finales'!$C$8+'Pesos finales'!$C$12)</f>
        <v/>
      </c>
      <c r="M90" s="7">
        <f>TANH(G90*'Pesos finales'!$D$5+H90*'Pesos finales'!$D$6+I90*'Pesos finales'!$D$7+J90*'Pesos finales'!$D$8+'Pesos finales'!$D$12)</f>
        <v/>
      </c>
      <c r="N90" s="7">
        <f>TANH(G90*'Pesos finales'!$E$5+H90*'Pesos finales'!$E$6+I90*'Pesos finales'!$E$7+J90*'Pesos finales'!$E$8+'Pesos finales'!$E$12)</f>
        <v/>
      </c>
      <c r="O90" s="7">
        <f>TANH(G90*'Pesos finales'!$F$5+H90*'Pesos finales'!$F$6+I90*'Pesos finales'!$F$7+J90*'Pesos finales'!$F$8+'Pesos finales'!$F$12)</f>
        <v/>
      </c>
      <c r="P90" s="7">
        <f>TANH(G90*'Pesos finales'!$G$5+H90*'Pesos finales'!$G$6+I90*'Pesos finales'!$G$7+J90*'Pesos finales'!$G$8+'Pesos finales'!$G$12)</f>
        <v/>
      </c>
      <c r="Q90" s="7">
        <f>TANH(G90*'Pesos finales'!$H$5+H90*'Pesos finales'!$H$6+I90*'Pesos finales'!$H$7+J90*'Pesos finales'!$H$8+'Pesos finales'!$H$12)</f>
        <v/>
      </c>
      <c r="R90" s="7">
        <f>TANH(G90*'Pesos finales'!$I$5+H90*'Pesos finales'!$I$6+I90*'Pesos finales'!$I$7+J90*'Pesos finales'!$I$8+'Pesos finales'!$I$12)</f>
        <v/>
      </c>
      <c r="S90" s="7">
        <f>K90*'Pesos finales'!$B$16+L90*'Pesos finales'!$B$17+M90*'Pesos finales'!$B$18+N90*'Pesos finales'!$B$19+O90*'Pesos finales'!$B$20+P90*'Pesos finales'!$B$21+Q90*'Pesos finales'!$B$22+R90*'Pesos finales'!$B$23+'Pesos finales'!$B$27</f>
        <v/>
      </c>
      <c r="T90" s="7">
        <f>K90*'Pesos finales'!$C$16+L90*'Pesos finales'!$C$17+M90*'Pesos finales'!$C$18+N90*'Pesos finales'!$C$19+O90*'Pesos finales'!$C$20+P90*'Pesos finales'!$C$21+Q90*'Pesos finales'!$C$22+R90*'Pesos finales'!$C$23+'Pesos finales'!$C$27</f>
        <v/>
      </c>
      <c r="U90" s="7">
        <f>K90*'Pesos finales'!$D$16+L90*'Pesos finales'!$D$17+M90*'Pesos finales'!$D$18+N90*'Pesos finales'!$D$19+O90*'Pesos finales'!$D$20+P90*'Pesos finales'!$D$21+Q90*'Pesos finales'!$D$22+R90*'Pesos finales'!$D$23+'Pesos finales'!$D$27</f>
        <v/>
      </c>
      <c r="V90" s="7">
        <f>EXP(S90)/(EXP(S90)+EXP(T90)+EXP(U90))</f>
        <v/>
      </c>
      <c r="W90" s="7">
        <f>EXP(T90)/(EXP(S90)+EXP(T90)+EXP(U90))</f>
        <v/>
      </c>
      <c r="X90" s="7">
        <f>EXP(U90)/(EXP(S90)+EXP(T90)+EXP(U90))</f>
        <v/>
      </c>
      <c r="Y90">
        <f>IF(AND(V90&gt;=W90,V90&gt;=X90),"Iris-setosa",IF(AND(W90&gt;=X90),"Iris-versicolor","Iris-virginica"))</f>
        <v/>
      </c>
      <c r="Z90" t="inlineStr">
        <is>
          <t>Iris-versicolor</t>
        </is>
      </c>
      <c r="AA90">
        <f>IF(Y90=Z90,"Sí","No")</f>
        <v/>
      </c>
      <c r="AB90" s="7" t="n">
        <v>9.304009716216125e-05</v>
      </c>
      <c r="AC90" s="7" t="n">
        <v>0.1952777726088739</v>
      </c>
      <c r="AD90" s="7" t="n">
        <v>0.8046291872939639</v>
      </c>
      <c r="AE90" t="inlineStr">
        <is>
          <t>Iris-virginica</t>
        </is>
      </c>
      <c r="AF90" s="9">
        <f>MAX(ABS(V90-AB90),ABS(W90-AC90),ABS(X90-AD90))</f>
        <v/>
      </c>
      <c r="AG90">
        <f>IF(AND(Y90=AE90,AF90&lt;1E-9),"Sí","No")</f>
        <v/>
      </c>
    </row>
    <row r="91">
      <c r="A91" t="n">
        <v>85</v>
      </c>
      <c r="B91" t="inlineStr">
        <is>
          <t>prueba</t>
        </is>
      </c>
      <c r="C91" t="n">
        <v>5.4</v>
      </c>
      <c r="D91" t="n">
        <v>3</v>
      </c>
      <c r="E91" t="n">
        <v>4.5</v>
      </c>
      <c r="F91" t="n">
        <v>1.5</v>
      </c>
      <c r="G91" s="7">
        <f>(C91-'Pesos finales'!$B$31)/'Pesos finales'!$B$32</f>
        <v/>
      </c>
      <c r="H91" s="7">
        <f>(D91-'Pesos finales'!$C$31)/'Pesos finales'!$C$32</f>
        <v/>
      </c>
      <c r="I91" s="7">
        <f>(E91-'Pesos finales'!$D$31)/'Pesos finales'!$D$32</f>
        <v/>
      </c>
      <c r="J91" s="7">
        <f>(F91-'Pesos finales'!$E$31)/'Pesos finales'!$E$32</f>
        <v/>
      </c>
      <c r="K91" s="7">
        <f>TANH(G91*'Pesos finales'!$B$5+H91*'Pesos finales'!$B$6+I91*'Pesos finales'!$B$7+J91*'Pesos finales'!$B$8+'Pesos finales'!$B$12)</f>
        <v/>
      </c>
      <c r="L91" s="7">
        <f>TANH(G91*'Pesos finales'!$C$5+H91*'Pesos finales'!$C$6+I91*'Pesos finales'!$C$7+J91*'Pesos finales'!$C$8+'Pesos finales'!$C$12)</f>
        <v/>
      </c>
      <c r="M91" s="7">
        <f>TANH(G91*'Pesos finales'!$D$5+H91*'Pesos finales'!$D$6+I91*'Pesos finales'!$D$7+J91*'Pesos finales'!$D$8+'Pesos finales'!$D$12)</f>
        <v/>
      </c>
      <c r="N91" s="7">
        <f>TANH(G91*'Pesos finales'!$E$5+H91*'Pesos finales'!$E$6+I91*'Pesos finales'!$E$7+J91*'Pesos finales'!$E$8+'Pesos finales'!$E$12)</f>
        <v/>
      </c>
      <c r="O91" s="7">
        <f>TANH(G91*'Pesos finales'!$F$5+H91*'Pesos finales'!$F$6+I91*'Pesos finales'!$F$7+J91*'Pesos finales'!$F$8+'Pesos finales'!$F$12)</f>
        <v/>
      </c>
      <c r="P91" s="7">
        <f>TANH(G91*'Pesos finales'!$G$5+H91*'Pesos finales'!$G$6+I91*'Pesos finales'!$G$7+J91*'Pesos finales'!$G$8+'Pesos finales'!$G$12)</f>
        <v/>
      </c>
      <c r="Q91" s="7">
        <f>TANH(G91*'Pesos finales'!$H$5+H91*'Pesos finales'!$H$6+I91*'Pesos finales'!$H$7+J91*'Pesos finales'!$H$8+'Pesos finales'!$H$12)</f>
        <v/>
      </c>
      <c r="R91" s="7">
        <f>TANH(G91*'Pesos finales'!$I$5+H91*'Pesos finales'!$I$6+I91*'Pesos finales'!$I$7+J91*'Pesos finales'!$I$8+'Pesos finales'!$I$12)</f>
        <v/>
      </c>
      <c r="S91" s="7">
        <f>K91*'Pesos finales'!$B$16+L91*'Pesos finales'!$B$17+M91*'Pesos finales'!$B$18+N91*'Pesos finales'!$B$19+O91*'Pesos finales'!$B$20+P91*'Pesos finales'!$B$21+Q91*'Pesos finales'!$B$22+R91*'Pesos finales'!$B$23+'Pesos finales'!$B$27</f>
        <v/>
      </c>
      <c r="T91" s="7">
        <f>K91*'Pesos finales'!$C$16+L91*'Pesos finales'!$C$17+M91*'Pesos finales'!$C$18+N91*'Pesos finales'!$C$19+O91*'Pesos finales'!$C$20+P91*'Pesos finales'!$C$21+Q91*'Pesos finales'!$C$22+R91*'Pesos finales'!$C$23+'Pesos finales'!$C$27</f>
        <v/>
      </c>
      <c r="U91" s="7">
        <f>K91*'Pesos finales'!$D$16+L91*'Pesos finales'!$D$17+M91*'Pesos finales'!$D$18+N91*'Pesos finales'!$D$19+O91*'Pesos finales'!$D$20+P91*'Pesos finales'!$D$21+Q91*'Pesos finales'!$D$22+R91*'Pesos finales'!$D$23+'Pesos finales'!$D$27</f>
        <v/>
      </c>
      <c r="V91" s="7">
        <f>EXP(S91)/(EXP(S91)+EXP(T91)+EXP(U91))</f>
        <v/>
      </c>
      <c r="W91" s="7">
        <f>EXP(T91)/(EXP(S91)+EXP(T91)+EXP(U91))</f>
        <v/>
      </c>
      <c r="X91" s="7">
        <f>EXP(U91)/(EXP(S91)+EXP(T91)+EXP(U91))</f>
        <v/>
      </c>
      <c r="Y91">
        <f>IF(AND(V91&gt;=W91,V91&gt;=X91),"Iris-setosa",IF(AND(W91&gt;=X91),"Iris-versicolor","Iris-virginica"))</f>
        <v/>
      </c>
      <c r="Z91" t="inlineStr">
        <is>
          <t>Iris-versicolor</t>
        </is>
      </c>
      <c r="AA91">
        <f>IF(Y91=Z91,"Sí","No")</f>
        <v/>
      </c>
      <c r="AB91" s="7" t="n">
        <v>0.002943522658391907</v>
      </c>
      <c r="AC91" s="7" t="n">
        <v>0.981850572553195</v>
      </c>
      <c r="AD91" s="7" t="n">
        <v>0.01520590478841324</v>
      </c>
      <c r="AE91" t="inlineStr">
        <is>
          <t>Iris-versicolor</t>
        </is>
      </c>
      <c r="AF91" s="9">
        <f>MAX(ABS(V91-AB91),ABS(W91-AC91),ABS(X91-AD91))</f>
        <v/>
      </c>
      <c r="AG91">
        <f>IF(AND(Y91=AE91,AF91&lt;1E-9),"Sí","No")</f>
        <v/>
      </c>
    </row>
    <row r="92">
      <c r="A92" t="n">
        <v>86</v>
      </c>
      <c r="B92" t="inlineStr">
        <is>
          <t>entrenamiento</t>
        </is>
      </c>
      <c r="C92" t="n">
        <v>6</v>
      </c>
      <c r="D92" t="n">
        <v>3.4</v>
      </c>
      <c r="E92" t="n">
        <v>4.5</v>
      </c>
      <c r="F92" t="n">
        <v>1.6</v>
      </c>
      <c r="G92" s="7">
        <f>(C92-'Pesos finales'!$B$31)/'Pesos finales'!$B$32</f>
        <v/>
      </c>
      <c r="H92" s="7">
        <f>(D92-'Pesos finales'!$C$31)/'Pesos finales'!$C$32</f>
        <v/>
      </c>
      <c r="I92" s="7">
        <f>(E92-'Pesos finales'!$D$31)/'Pesos finales'!$D$32</f>
        <v/>
      </c>
      <c r="J92" s="7">
        <f>(F92-'Pesos finales'!$E$31)/'Pesos finales'!$E$32</f>
        <v/>
      </c>
      <c r="K92" s="7">
        <f>TANH(G92*'Pesos finales'!$B$5+H92*'Pesos finales'!$B$6+I92*'Pesos finales'!$B$7+J92*'Pesos finales'!$B$8+'Pesos finales'!$B$12)</f>
        <v/>
      </c>
      <c r="L92" s="7">
        <f>TANH(G92*'Pesos finales'!$C$5+H92*'Pesos finales'!$C$6+I92*'Pesos finales'!$C$7+J92*'Pesos finales'!$C$8+'Pesos finales'!$C$12)</f>
        <v/>
      </c>
      <c r="M92" s="7">
        <f>TANH(G92*'Pesos finales'!$D$5+H92*'Pesos finales'!$D$6+I92*'Pesos finales'!$D$7+J92*'Pesos finales'!$D$8+'Pesos finales'!$D$12)</f>
        <v/>
      </c>
      <c r="N92" s="7">
        <f>TANH(G92*'Pesos finales'!$E$5+H92*'Pesos finales'!$E$6+I92*'Pesos finales'!$E$7+J92*'Pesos finales'!$E$8+'Pesos finales'!$E$12)</f>
        <v/>
      </c>
      <c r="O92" s="7">
        <f>TANH(G92*'Pesos finales'!$F$5+H92*'Pesos finales'!$F$6+I92*'Pesos finales'!$F$7+J92*'Pesos finales'!$F$8+'Pesos finales'!$F$12)</f>
        <v/>
      </c>
      <c r="P92" s="7">
        <f>TANH(G92*'Pesos finales'!$G$5+H92*'Pesos finales'!$G$6+I92*'Pesos finales'!$G$7+J92*'Pesos finales'!$G$8+'Pesos finales'!$G$12)</f>
        <v/>
      </c>
      <c r="Q92" s="7">
        <f>TANH(G92*'Pesos finales'!$H$5+H92*'Pesos finales'!$H$6+I92*'Pesos finales'!$H$7+J92*'Pesos finales'!$H$8+'Pesos finales'!$H$12)</f>
        <v/>
      </c>
      <c r="R92" s="7">
        <f>TANH(G92*'Pesos finales'!$I$5+H92*'Pesos finales'!$I$6+I92*'Pesos finales'!$I$7+J92*'Pesos finales'!$I$8+'Pesos finales'!$I$12)</f>
        <v/>
      </c>
      <c r="S92" s="7">
        <f>K92*'Pesos finales'!$B$16+L92*'Pesos finales'!$B$17+M92*'Pesos finales'!$B$18+N92*'Pesos finales'!$B$19+O92*'Pesos finales'!$B$20+P92*'Pesos finales'!$B$21+Q92*'Pesos finales'!$B$22+R92*'Pesos finales'!$B$23+'Pesos finales'!$B$27</f>
        <v/>
      </c>
      <c r="T92" s="7">
        <f>K92*'Pesos finales'!$C$16+L92*'Pesos finales'!$C$17+M92*'Pesos finales'!$C$18+N92*'Pesos finales'!$C$19+O92*'Pesos finales'!$C$20+P92*'Pesos finales'!$C$21+Q92*'Pesos finales'!$C$22+R92*'Pesos finales'!$C$23+'Pesos finales'!$C$27</f>
        <v/>
      </c>
      <c r="U92" s="7">
        <f>K92*'Pesos finales'!$D$16+L92*'Pesos finales'!$D$17+M92*'Pesos finales'!$D$18+N92*'Pesos finales'!$D$19+O92*'Pesos finales'!$D$20+P92*'Pesos finales'!$D$21+Q92*'Pesos finales'!$D$22+R92*'Pesos finales'!$D$23+'Pesos finales'!$D$27</f>
        <v/>
      </c>
      <c r="V92" s="7">
        <f>EXP(S92)/(EXP(S92)+EXP(T92)+EXP(U92))</f>
        <v/>
      </c>
      <c r="W92" s="7">
        <f>EXP(T92)/(EXP(S92)+EXP(T92)+EXP(U92))</f>
        <v/>
      </c>
      <c r="X92" s="7">
        <f>EXP(U92)/(EXP(S92)+EXP(T92)+EXP(U92))</f>
        <v/>
      </c>
      <c r="Y92">
        <f>IF(AND(V92&gt;=W92,V92&gt;=X92),"Iris-setosa",IF(AND(W92&gt;=X92),"Iris-versicolor","Iris-virginica"))</f>
        <v/>
      </c>
      <c r="Z92" t="inlineStr">
        <is>
          <t>Iris-versicolor</t>
        </is>
      </c>
      <c r="AA92">
        <f>IF(Y92=Z92,"Sí","No")</f>
        <v/>
      </c>
      <c r="AB92" s="7" t="n">
        <v>0.004071794669372937</v>
      </c>
      <c r="AC92" s="7" t="n">
        <v>0.9917390150353467</v>
      </c>
      <c r="AD92" s="7" t="n">
        <v>0.00418919029528041</v>
      </c>
      <c r="AE92" t="inlineStr">
        <is>
          <t>Iris-versicolor</t>
        </is>
      </c>
      <c r="AF92" s="9">
        <f>MAX(ABS(V92-AB92),ABS(W92-AC92),ABS(X92-AD92))</f>
        <v/>
      </c>
      <c r="AG92">
        <f>IF(AND(Y92=AE92,AF92&lt;1E-9),"Sí","No")</f>
        <v/>
      </c>
    </row>
    <row r="93">
      <c r="A93" t="n">
        <v>87</v>
      </c>
      <c r="B93" t="inlineStr">
        <is>
          <t>entrenamiento</t>
        </is>
      </c>
      <c r="C93" t="n">
        <v>6.7</v>
      </c>
      <c r="D93" t="n">
        <v>3.1</v>
      </c>
      <c r="E93" t="n">
        <v>4.7</v>
      </c>
      <c r="F93" t="n">
        <v>1.5</v>
      </c>
      <c r="G93" s="7">
        <f>(C93-'Pesos finales'!$B$31)/'Pesos finales'!$B$32</f>
        <v/>
      </c>
      <c r="H93" s="7">
        <f>(D93-'Pesos finales'!$C$31)/'Pesos finales'!$C$32</f>
        <v/>
      </c>
      <c r="I93" s="7">
        <f>(E93-'Pesos finales'!$D$31)/'Pesos finales'!$D$32</f>
        <v/>
      </c>
      <c r="J93" s="7">
        <f>(F93-'Pesos finales'!$E$31)/'Pesos finales'!$E$32</f>
        <v/>
      </c>
      <c r="K93" s="7">
        <f>TANH(G93*'Pesos finales'!$B$5+H93*'Pesos finales'!$B$6+I93*'Pesos finales'!$B$7+J93*'Pesos finales'!$B$8+'Pesos finales'!$B$12)</f>
        <v/>
      </c>
      <c r="L93" s="7">
        <f>TANH(G93*'Pesos finales'!$C$5+H93*'Pesos finales'!$C$6+I93*'Pesos finales'!$C$7+J93*'Pesos finales'!$C$8+'Pesos finales'!$C$12)</f>
        <v/>
      </c>
      <c r="M93" s="7">
        <f>TANH(G93*'Pesos finales'!$D$5+H93*'Pesos finales'!$D$6+I93*'Pesos finales'!$D$7+J93*'Pesos finales'!$D$8+'Pesos finales'!$D$12)</f>
        <v/>
      </c>
      <c r="N93" s="7">
        <f>TANH(G93*'Pesos finales'!$E$5+H93*'Pesos finales'!$E$6+I93*'Pesos finales'!$E$7+J93*'Pesos finales'!$E$8+'Pesos finales'!$E$12)</f>
        <v/>
      </c>
      <c r="O93" s="7">
        <f>TANH(G93*'Pesos finales'!$F$5+H93*'Pesos finales'!$F$6+I93*'Pesos finales'!$F$7+J93*'Pesos finales'!$F$8+'Pesos finales'!$F$12)</f>
        <v/>
      </c>
      <c r="P93" s="7">
        <f>TANH(G93*'Pesos finales'!$G$5+H93*'Pesos finales'!$G$6+I93*'Pesos finales'!$G$7+J93*'Pesos finales'!$G$8+'Pesos finales'!$G$12)</f>
        <v/>
      </c>
      <c r="Q93" s="7">
        <f>TANH(G93*'Pesos finales'!$H$5+H93*'Pesos finales'!$H$6+I93*'Pesos finales'!$H$7+J93*'Pesos finales'!$H$8+'Pesos finales'!$H$12)</f>
        <v/>
      </c>
      <c r="R93" s="7">
        <f>TANH(G93*'Pesos finales'!$I$5+H93*'Pesos finales'!$I$6+I93*'Pesos finales'!$I$7+J93*'Pesos finales'!$I$8+'Pesos finales'!$I$12)</f>
        <v/>
      </c>
      <c r="S93" s="7">
        <f>K93*'Pesos finales'!$B$16+L93*'Pesos finales'!$B$17+M93*'Pesos finales'!$B$18+N93*'Pesos finales'!$B$19+O93*'Pesos finales'!$B$20+P93*'Pesos finales'!$B$21+Q93*'Pesos finales'!$B$22+R93*'Pesos finales'!$B$23+'Pesos finales'!$B$27</f>
        <v/>
      </c>
      <c r="T93" s="7">
        <f>K93*'Pesos finales'!$C$16+L93*'Pesos finales'!$C$17+M93*'Pesos finales'!$C$18+N93*'Pesos finales'!$C$19+O93*'Pesos finales'!$C$20+P93*'Pesos finales'!$C$21+Q93*'Pesos finales'!$C$22+R93*'Pesos finales'!$C$23+'Pesos finales'!$C$27</f>
        <v/>
      </c>
      <c r="U93" s="7">
        <f>K93*'Pesos finales'!$D$16+L93*'Pesos finales'!$D$17+M93*'Pesos finales'!$D$18+N93*'Pesos finales'!$D$19+O93*'Pesos finales'!$D$20+P93*'Pesos finales'!$D$21+Q93*'Pesos finales'!$D$22+R93*'Pesos finales'!$D$23+'Pesos finales'!$D$27</f>
        <v/>
      </c>
      <c r="V93" s="7">
        <f>EXP(S93)/(EXP(S93)+EXP(T93)+EXP(U93))</f>
        <v/>
      </c>
      <c r="W93" s="7">
        <f>EXP(T93)/(EXP(S93)+EXP(T93)+EXP(U93))</f>
        <v/>
      </c>
      <c r="X93" s="7">
        <f>EXP(U93)/(EXP(S93)+EXP(T93)+EXP(U93))</f>
        <v/>
      </c>
      <c r="Y93">
        <f>IF(AND(V93&gt;=W93,V93&gt;=X93),"Iris-setosa",IF(AND(W93&gt;=X93),"Iris-versicolor","Iris-virginica"))</f>
        <v/>
      </c>
      <c r="Z93" t="inlineStr">
        <is>
          <t>Iris-versicolor</t>
        </is>
      </c>
      <c r="AA93">
        <f>IF(Y93=Z93,"Sí","No")</f>
        <v/>
      </c>
      <c r="AB93" s="7" t="n">
        <v>0.0004484984822468198</v>
      </c>
      <c r="AC93" s="7" t="n">
        <v>0.9927450746633043</v>
      </c>
      <c r="AD93" s="7" t="n">
        <v>0.006806426854448809</v>
      </c>
      <c r="AE93" t="inlineStr">
        <is>
          <t>Iris-versicolor</t>
        </is>
      </c>
      <c r="AF93" s="9">
        <f>MAX(ABS(V93-AB93),ABS(W93-AC93),ABS(X93-AD93))</f>
        <v/>
      </c>
      <c r="AG93">
        <f>IF(AND(Y93=AE93,AF93&lt;1E-9),"Sí","No")</f>
        <v/>
      </c>
    </row>
    <row r="94">
      <c r="A94" t="n">
        <v>88</v>
      </c>
      <c r="B94" t="inlineStr">
        <is>
          <t>prueba</t>
        </is>
      </c>
      <c r="C94" t="n">
        <v>6.3</v>
      </c>
      <c r="D94" t="n">
        <v>2.3</v>
      </c>
      <c r="E94" t="n">
        <v>4.4</v>
      </c>
      <c r="F94" t="n">
        <v>1.3</v>
      </c>
      <c r="G94" s="7">
        <f>(C94-'Pesos finales'!$B$31)/'Pesos finales'!$B$32</f>
        <v/>
      </c>
      <c r="H94" s="7">
        <f>(D94-'Pesos finales'!$C$31)/'Pesos finales'!$C$32</f>
        <v/>
      </c>
      <c r="I94" s="7">
        <f>(E94-'Pesos finales'!$D$31)/'Pesos finales'!$D$32</f>
        <v/>
      </c>
      <c r="J94" s="7">
        <f>(F94-'Pesos finales'!$E$31)/'Pesos finales'!$E$32</f>
        <v/>
      </c>
      <c r="K94" s="7">
        <f>TANH(G94*'Pesos finales'!$B$5+H94*'Pesos finales'!$B$6+I94*'Pesos finales'!$B$7+J94*'Pesos finales'!$B$8+'Pesos finales'!$B$12)</f>
        <v/>
      </c>
      <c r="L94" s="7">
        <f>TANH(G94*'Pesos finales'!$C$5+H94*'Pesos finales'!$C$6+I94*'Pesos finales'!$C$7+J94*'Pesos finales'!$C$8+'Pesos finales'!$C$12)</f>
        <v/>
      </c>
      <c r="M94" s="7">
        <f>TANH(G94*'Pesos finales'!$D$5+H94*'Pesos finales'!$D$6+I94*'Pesos finales'!$D$7+J94*'Pesos finales'!$D$8+'Pesos finales'!$D$12)</f>
        <v/>
      </c>
      <c r="N94" s="7">
        <f>TANH(G94*'Pesos finales'!$E$5+H94*'Pesos finales'!$E$6+I94*'Pesos finales'!$E$7+J94*'Pesos finales'!$E$8+'Pesos finales'!$E$12)</f>
        <v/>
      </c>
      <c r="O94" s="7">
        <f>TANH(G94*'Pesos finales'!$F$5+H94*'Pesos finales'!$F$6+I94*'Pesos finales'!$F$7+J94*'Pesos finales'!$F$8+'Pesos finales'!$F$12)</f>
        <v/>
      </c>
      <c r="P94" s="7">
        <f>TANH(G94*'Pesos finales'!$G$5+H94*'Pesos finales'!$G$6+I94*'Pesos finales'!$G$7+J94*'Pesos finales'!$G$8+'Pesos finales'!$G$12)</f>
        <v/>
      </c>
      <c r="Q94" s="7">
        <f>TANH(G94*'Pesos finales'!$H$5+H94*'Pesos finales'!$H$6+I94*'Pesos finales'!$H$7+J94*'Pesos finales'!$H$8+'Pesos finales'!$H$12)</f>
        <v/>
      </c>
      <c r="R94" s="7">
        <f>TANH(G94*'Pesos finales'!$I$5+H94*'Pesos finales'!$I$6+I94*'Pesos finales'!$I$7+J94*'Pesos finales'!$I$8+'Pesos finales'!$I$12)</f>
        <v/>
      </c>
      <c r="S94" s="7">
        <f>K94*'Pesos finales'!$B$16+L94*'Pesos finales'!$B$17+M94*'Pesos finales'!$B$18+N94*'Pesos finales'!$B$19+O94*'Pesos finales'!$B$20+P94*'Pesos finales'!$B$21+Q94*'Pesos finales'!$B$22+R94*'Pesos finales'!$B$23+'Pesos finales'!$B$27</f>
        <v/>
      </c>
      <c r="T94" s="7">
        <f>K94*'Pesos finales'!$C$16+L94*'Pesos finales'!$C$17+M94*'Pesos finales'!$C$18+N94*'Pesos finales'!$C$19+O94*'Pesos finales'!$C$20+P94*'Pesos finales'!$C$21+Q94*'Pesos finales'!$C$22+R94*'Pesos finales'!$C$23+'Pesos finales'!$C$27</f>
        <v/>
      </c>
      <c r="U94" s="7">
        <f>K94*'Pesos finales'!$D$16+L94*'Pesos finales'!$D$17+M94*'Pesos finales'!$D$18+N94*'Pesos finales'!$D$19+O94*'Pesos finales'!$D$20+P94*'Pesos finales'!$D$21+Q94*'Pesos finales'!$D$22+R94*'Pesos finales'!$D$23+'Pesos finales'!$D$27</f>
        <v/>
      </c>
      <c r="V94" s="7">
        <f>EXP(S94)/(EXP(S94)+EXP(T94)+EXP(U94))</f>
        <v/>
      </c>
      <c r="W94" s="7">
        <f>EXP(T94)/(EXP(S94)+EXP(T94)+EXP(U94))</f>
        <v/>
      </c>
      <c r="X94" s="7">
        <f>EXP(U94)/(EXP(S94)+EXP(T94)+EXP(U94))</f>
        <v/>
      </c>
      <c r="Y94">
        <f>IF(AND(V94&gt;=W94,V94&gt;=X94),"Iris-setosa",IF(AND(W94&gt;=X94),"Iris-versicolor","Iris-virginica"))</f>
        <v/>
      </c>
      <c r="Z94" t="inlineStr">
        <is>
          <t>Iris-versicolor</t>
        </is>
      </c>
      <c r="AA94">
        <f>IF(Y94=Z94,"Sí","No")</f>
        <v/>
      </c>
      <c r="AB94" s="7" t="n">
        <v>0.0002223359090497703</v>
      </c>
      <c r="AC94" s="7" t="n">
        <v>0.9882060754839745</v>
      </c>
      <c r="AD94" s="7" t="n">
        <v>0.01157158860697584</v>
      </c>
      <c r="AE94" t="inlineStr">
        <is>
          <t>Iris-versicolor</t>
        </is>
      </c>
      <c r="AF94" s="9">
        <f>MAX(ABS(V94-AB94),ABS(W94-AC94),ABS(X94-AD94))</f>
        <v/>
      </c>
      <c r="AG94">
        <f>IF(AND(Y94=AE94,AF94&lt;1E-9),"Sí","No")</f>
        <v/>
      </c>
    </row>
    <row r="95">
      <c r="A95" t="n">
        <v>89</v>
      </c>
      <c r="B95" t="inlineStr">
        <is>
          <t>entrenamiento</t>
        </is>
      </c>
      <c r="C95" t="n">
        <v>5.6</v>
      </c>
      <c r="D95" t="n">
        <v>3</v>
      </c>
      <c r="E95" t="n">
        <v>4.1</v>
      </c>
      <c r="F95" t="n">
        <v>1.3</v>
      </c>
      <c r="G95" s="7">
        <f>(C95-'Pesos finales'!$B$31)/'Pesos finales'!$B$32</f>
        <v/>
      </c>
      <c r="H95" s="7">
        <f>(D95-'Pesos finales'!$C$31)/'Pesos finales'!$C$32</f>
        <v/>
      </c>
      <c r="I95" s="7">
        <f>(E95-'Pesos finales'!$D$31)/'Pesos finales'!$D$32</f>
        <v/>
      </c>
      <c r="J95" s="7">
        <f>(F95-'Pesos finales'!$E$31)/'Pesos finales'!$E$32</f>
        <v/>
      </c>
      <c r="K95" s="7">
        <f>TANH(G95*'Pesos finales'!$B$5+H95*'Pesos finales'!$B$6+I95*'Pesos finales'!$B$7+J95*'Pesos finales'!$B$8+'Pesos finales'!$B$12)</f>
        <v/>
      </c>
      <c r="L95" s="7">
        <f>TANH(G95*'Pesos finales'!$C$5+H95*'Pesos finales'!$C$6+I95*'Pesos finales'!$C$7+J95*'Pesos finales'!$C$8+'Pesos finales'!$C$12)</f>
        <v/>
      </c>
      <c r="M95" s="7">
        <f>TANH(G95*'Pesos finales'!$D$5+H95*'Pesos finales'!$D$6+I95*'Pesos finales'!$D$7+J95*'Pesos finales'!$D$8+'Pesos finales'!$D$12)</f>
        <v/>
      </c>
      <c r="N95" s="7">
        <f>TANH(G95*'Pesos finales'!$E$5+H95*'Pesos finales'!$E$6+I95*'Pesos finales'!$E$7+J95*'Pesos finales'!$E$8+'Pesos finales'!$E$12)</f>
        <v/>
      </c>
      <c r="O95" s="7">
        <f>TANH(G95*'Pesos finales'!$F$5+H95*'Pesos finales'!$F$6+I95*'Pesos finales'!$F$7+J95*'Pesos finales'!$F$8+'Pesos finales'!$F$12)</f>
        <v/>
      </c>
      <c r="P95" s="7">
        <f>TANH(G95*'Pesos finales'!$G$5+H95*'Pesos finales'!$G$6+I95*'Pesos finales'!$G$7+J95*'Pesos finales'!$G$8+'Pesos finales'!$G$12)</f>
        <v/>
      </c>
      <c r="Q95" s="7">
        <f>TANH(G95*'Pesos finales'!$H$5+H95*'Pesos finales'!$H$6+I95*'Pesos finales'!$H$7+J95*'Pesos finales'!$H$8+'Pesos finales'!$H$12)</f>
        <v/>
      </c>
      <c r="R95" s="7">
        <f>TANH(G95*'Pesos finales'!$I$5+H95*'Pesos finales'!$I$6+I95*'Pesos finales'!$I$7+J95*'Pesos finales'!$I$8+'Pesos finales'!$I$12)</f>
        <v/>
      </c>
      <c r="S95" s="7">
        <f>K95*'Pesos finales'!$B$16+L95*'Pesos finales'!$B$17+M95*'Pesos finales'!$B$18+N95*'Pesos finales'!$B$19+O95*'Pesos finales'!$B$20+P95*'Pesos finales'!$B$21+Q95*'Pesos finales'!$B$22+R95*'Pesos finales'!$B$23+'Pesos finales'!$B$27</f>
        <v/>
      </c>
      <c r="T95" s="7">
        <f>K95*'Pesos finales'!$C$16+L95*'Pesos finales'!$C$17+M95*'Pesos finales'!$C$18+N95*'Pesos finales'!$C$19+O95*'Pesos finales'!$C$20+P95*'Pesos finales'!$C$21+Q95*'Pesos finales'!$C$22+R95*'Pesos finales'!$C$23+'Pesos finales'!$C$27</f>
        <v/>
      </c>
      <c r="U95" s="7">
        <f>K95*'Pesos finales'!$D$16+L95*'Pesos finales'!$D$17+M95*'Pesos finales'!$D$18+N95*'Pesos finales'!$D$19+O95*'Pesos finales'!$D$20+P95*'Pesos finales'!$D$21+Q95*'Pesos finales'!$D$22+R95*'Pesos finales'!$D$23+'Pesos finales'!$D$27</f>
        <v/>
      </c>
      <c r="V95" s="7">
        <f>EXP(S95)/(EXP(S95)+EXP(T95)+EXP(U95))</f>
        <v/>
      </c>
      <c r="W95" s="7">
        <f>EXP(T95)/(EXP(S95)+EXP(T95)+EXP(U95))</f>
        <v/>
      </c>
      <c r="X95" s="7">
        <f>EXP(U95)/(EXP(S95)+EXP(T95)+EXP(U95))</f>
        <v/>
      </c>
      <c r="Y95">
        <f>IF(AND(V95&gt;=W95,V95&gt;=X95),"Iris-setosa",IF(AND(W95&gt;=X95),"Iris-versicolor","Iris-virginica"))</f>
        <v/>
      </c>
      <c r="Z95" t="inlineStr">
        <is>
          <t>Iris-versicolor</t>
        </is>
      </c>
      <c r="AA95">
        <f>IF(Y95=Z95,"Sí","No")</f>
        <v/>
      </c>
      <c r="AB95" s="7" t="n">
        <v>0.004658198573931308</v>
      </c>
      <c r="AC95" s="7" t="n">
        <v>0.9950079381922911</v>
      </c>
      <c r="AD95" s="7" t="n">
        <v>0.0003338632337776527</v>
      </c>
      <c r="AE95" t="inlineStr">
        <is>
          <t>Iris-versicolor</t>
        </is>
      </c>
      <c r="AF95" s="9">
        <f>MAX(ABS(V95-AB95),ABS(W95-AC95),ABS(X95-AD95))</f>
        <v/>
      </c>
      <c r="AG95">
        <f>IF(AND(Y95=AE95,AF95&lt;1E-9),"Sí","No")</f>
        <v/>
      </c>
    </row>
    <row r="96">
      <c r="A96" t="n">
        <v>90</v>
      </c>
      <c r="B96" t="inlineStr">
        <is>
          <t>entrenamiento</t>
        </is>
      </c>
      <c r="C96" t="n">
        <v>5.5</v>
      </c>
      <c r="D96" t="n">
        <v>2.5</v>
      </c>
      <c r="E96" t="n">
        <v>4</v>
      </c>
      <c r="F96" t="n">
        <v>1.3</v>
      </c>
      <c r="G96" s="7">
        <f>(C96-'Pesos finales'!$B$31)/'Pesos finales'!$B$32</f>
        <v/>
      </c>
      <c r="H96" s="7">
        <f>(D96-'Pesos finales'!$C$31)/'Pesos finales'!$C$32</f>
        <v/>
      </c>
      <c r="I96" s="7">
        <f>(E96-'Pesos finales'!$D$31)/'Pesos finales'!$D$32</f>
        <v/>
      </c>
      <c r="J96" s="7">
        <f>(F96-'Pesos finales'!$E$31)/'Pesos finales'!$E$32</f>
        <v/>
      </c>
      <c r="K96" s="7">
        <f>TANH(G96*'Pesos finales'!$B$5+H96*'Pesos finales'!$B$6+I96*'Pesos finales'!$B$7+J96*'Pesos finales'!$B$8+'Pesos finales'!$B$12)</f>
        <v/>
      </c>
      <c r="L96" s="7">
        <f>TANH(G96*'Pesos finales'!$C$5+H96*'Pesos finales'!$C$6+I96*'Pesos finales'!$C$7+J96*'Pesos finales'!$C$8+'Pesos finales'!$C$12)</f>
        <v/>
      </c>
      <c r="M96" s="7">
        <f>TANH(G96*'Pesos finales'!$D$5+H96*'Pesos finales'!$D$6+I96*'Pesos finales'!$D$7+J96*'Pesos finales'!$D$8+'Pesos finales'!$D$12)</f>
        <v/>
      </c>
      <c r="N96" s="7">
        <f>TANH(G96*'Pesos finales'!$E$5+H96*'Pesos finales'!$E$6+I96*'Pesos finales'!$E$7+J96*'Pesos finales'!$E$8+'Pesos finales'!$E$12)</f>
        <v/>
      </c>
      <c r="O96" s="7">
        <f>TANH(G96*'Pesos finales'!$F$5+H96*'Pesos finales'!$F$6+I96*'Pesos finales'!$F$7+J96*'Pesos finales'!$F$8+'Pesos finales'!$F$12)</f>
        <v/>
      </c>
      <c r="P96" s="7">
        <f>TANH(G96*'Pesos finales'!$G$5+H96*'Pesos finales'!$G$6+I96*'Pesos finales'!$G$7+J96*'Pesos finales'!$G$8+'Pesos finales'!$G$12)</f>
        <v/>
      </c>
      <c r="Q96" s="7">
        <f>TANH(G96*'Pesos finales'!$H$5+H96*'Pesos finales'!$H$6+I96*'Pesos finales'!$H$7+J96*'Pesos finales'!$H$8+'Pesos finales'!$H$12)</f>
        <v/>
      </c>
      <c r="R96" s="7">
        <f>TANH(G96*'Pesos finales'!$I$5+H96*'Pesos finales'!$I$6+I96*'Pesos finales'!$I$7+J96*'Pesos finales'!$I$8+'Pesos finales'!$I$12)</f>
        <v/>
      </c>
      <c r="S96" s="7">
        <f>K96*'Pesos finales'!$B$16+L96*'Pesos finales'!$B$17+M96*'Pesos finales'!$B$18+N96*'Pesos finales'!$B$19+O96*'Pesos finales'!$B$20+P96*'Pesos finales'!$B$21+Q96*'Pesos finales'!$B$22+R96*'Pesos finales'!$B$23+'Pesos finales'!$B$27</f>
        <v/>
      </c>
      <c r="T96" s="7">
        <f>K96*'Pesos finales'!$C$16+L96*'Pesos finales'!$C$17+M96*'Pesos finales'!$C$18+N96*'Pesos finales'!$C$19+O96*'Pesos finales'!$C$20+P96*'Pesos finales'!$C$21+Q96*'Pesos finales'!$C$22+R96*'Pesos finales'!$C$23+'Pesos finales'!$C$27</f>
        <v/>
      </c>
      <c r="U96" s="7">
        <f>K96*'Pesos finales'!$D$16+L96*'Pesos finales'!$D$17+M96*'Pesos finales'!$D$18+N96*'Pesos finales'!$D$19+O96*'Pesos finales'!$D$20+P96*'Pesos finales'!$D$21+Q96*'Pesos finales'!$D$22+R96*'Pesos finales'!$D$23+'Pesos finales'!$D$27</f>
        <v/>
      </c>
      <c r="V96" s="7">
        <f>EXP(S96)/(EXP(S96)+EXP(T96)+EXP(U96))</f>
        <v/>
      </c>
      <c r="W96" s="7">
        <f>EXP(T96)/(EXP(S96)+EXP(T96)+EXP(U96))</f>
        <v/>
      </c>
      <c r="X96" s="7">
        <f>EXP(U96)/(EXP(S96)+EXP(T96)+EXP(U96))</f>
        <v/>
      </c>
      <c r="Y96">
        <f>IF(AND(V96&gt;=W96,V96&gt;=X96),"Iris-setosa",IF(AND(W96&gt;=X96),"Iris-versicolor","Iris-virginica"))</f>
        <v/>
      </c>
      <c r="Z96" t="inlineStr">
        <is>
          <t>Iris-versicolor</t>
        </is>
      </c>
      <c r="AA96">
        <f>IF(Y96=Z96,"Sí","No")</f>
        <v/>
      </c>
      <c r="AB96" s="7" t="n">
        <v>0.0007142232773409475</v>
      </c>
      <c r="AC96" s="7" t="n">
        <v>0.9980488315552254</v>
      </c>
      <c r="AD96" s="7" t="n">
        <v>0.001236945167433709</v>
      </c>
      <c r="AE96" t="inlineStr">
        <is>
          <t>Iris-versicolor</t>
        </is>
      </c>
      <c r="AF96" s="9">
        <f>MAX(ABS(V96-AB96),ABS(W96-AC96),ABS(X96-AD96))</f>
        <v/>
      </c>
      <c r="AG96">
        <f>IF(AND(Y96=AE96,AF96&lt;1E-9),"Sí","No")</f>
        <v/>
      </c>
    </row>
    <row r="97">
      <c r="A97" t="n">
        <v>91</v>
      </c>
      <c r="B97" t="inlineStr">
        <is>
          <t>entrenamiento</t>
        </is>
      </c>
      <c r="C97" t="n">
        <v>5.5</v>
      </c>
      <c r="D97" t="n">
        <v>2.6</v>
      </c>
      <c r="E97" t="n">
        <v>4.4</v>
      </c>
      <c r="F97" t="n">
        <v>1.2</v>
      </c>
      <c r="G97" s="7">
        <f>(C97-'Pesos finales'!$B$31)/'Pesos finales'!$B$32</f>
        <v/>
      </c>
      <c r="H97" s="7">
        <f>(D97-'Pesos finales'!$C$31)/'Pesos finales'!$C$32</f>
        <v/>
      </c>
      <c r="I97" s="7">
        <f>(E97-'Pesos finales'!$D$31)/'Pesos finales'!$D$32</f>
        <v/>
      </c>
      <c r="J97" s="7">
        <f>(F97-'Pesos finales'!$E$31)/'Pesos finales'!$E$32</f>
        <v/>
      </c>
      <c r="K97" s="7">
        <f>TANH(G97*'Pesos finales'!$B$5+H97*'Pesos finales'!$B$6+I97*'Pesos finales'!$B$7+J97*'Pesos finales'!$B$8+'Pesos finales'!$B$12)</f>
        <v/>
      </c>
      <c r="L97" s="7">
        <f>TANH(G97*'Pesos finales'!$C$5+H97*'Pesos finales'!$C$6+I97*'Pesos finales'!$C$7+J97*'Pesos finales'!$C$8+'Pesos finales'!$C$12)</f>
        <v/>
      </c>
      <c r="M97" s="7">
        <f>TANH(G97*'Pesos finales'!$D$5+H97*'Pesos finales'!$D$6+I97*'Pesos finales'!$D$7+J97*'Pesos finales'!$D$8+'Pesos finales'!$D$12)</f>
        <v/>
      </c>
      <c r="N97" s="7">
        <f>TANH(G97*'Pesos finales'!$E$5+H97*'Pesos finales'!$E$6+I97*'Pesos finales'!$E$7+J97*'Pesos finales'!$E$8+'Pesos finales'!$E$12)</f>
        <v/>
      </c>
      <c r="O97" s="7">
        <f>TANH(G97*'Pesos finales'!$F$5+H97*'Pesos finales'!$F$6+I97*'Pesos finales'!$F$7+J97*'Pesos finales'!$F$8+'Pesos finales'!$F$12)</f>
        <v/>
      </c>
      <c r="P97" s="7">
        <f>TANH(G97*'Pesos finales'!$G$5+H97*'Pesos finales'!$G$6+I97*'Pesos finales'!$G$7+J97*'Pesos finales'!$G$8+'Pesos finales'!$G$12)</f>
        <v/>
      </c>
      <c r="Q97" s="7">
        <f>TANH(G97*'Pesos finales'!$H$5+H97*'Pesos finales'!$H$6+I97*'Pesos finales'!$H$7+J97*'Pesos finales'!$H$8+'Pesos finales'!$H$12)</f>
        <v/>
      </c>
      <c r="R97" s="7">
        <f>TANH(G97*'Pesos finales'!$I$5+H97*'Pesos finales'!$I$6+I97*'Pesos finales'!$I$7+J97*'Pesos finales'!$I$8+'Pesos finales'!$I$12)</f>
        <v/>
      </c>
      <c r="S97" s="7">
        <f>K97*'Pesos finales'!$B$16+L97*'Pesos finales'!$B$17+M97*'Pesos finales'!$B$18+N97*'Pesos finales'!$B$19+O97*'Pesos finales'!$B$20+P97*'Pesos finales'!$B$21+Q97*'Pesos finales'!$B$22+R97*'Pesos finales'!$B$23+'Pesos finales'!$B$27</f>
        <v/>
      </c>
      <c r="T97" s="7">
        <f>K97*'Pesos finales'!$C$16+L97*'Pesos finales'!$C$17+M97*'Pesos finales'!$C$18+N97*'Pesos finales'!$C$19+O97*'Pesos finales'!$C$20+P97*'Pesos finales'!$C$21+Q97*'Pesos finales'!$C$22+R97*'Pesos finales'!$C$23+'Pesos finales'!$C$27</f>
        <v/>
      </c>
      <c r="U97" s="7">
        <f>K97*'Pesos finales'!$D$16+L97*'Pesos finales'!$D$17+M97*'Pesos finales'!$D$18+N97*'Pesos finales'!$D$19+O97*'Pesos finales'!$D$20+P97*'Pesos finales'!$D$21+Q97*'Pesos finales'!$D$22+R97*'Pesos finales'!$D$23+'Pesos finales'!$D$27</f>
        <v/>
      </c>
      <c r="V97" s="7">
        <f>EXP(S97)/(EXP(S97)+EXP(T97)+EXP(U97))</f>
        <v/>
      </c>
      <c r="W97" s="7">
        <f>EXP(T97)/(EXP(S97)+EXP(T97)+EXP(U97))</f>
        <v/>
      </c>
      <c r="X97" s="7">
        <f>EXP(U97)/(EXP(S97)+EXP(T97)+EXP(U97))</f>
        <v/>
      </c>
      <c r="Y97">
        <f>IF(AND(V97&gt;=W97,V97&gt;=X97),"Iris-setosa",IF(AND(W97&gt;=X97),"Iris-versicolor","Iris-virginica"))</f>
        <v/>
      </c>
      <c r="Z97" t="inlineStr">
        <is>
          <t>Iris-versicolor</t>
        </is>
      </c>
      <c r="AA97">
        <f>IF(Y97=Z97,"Sí","No")</f>
        <v/>
      </c>
      <c r="AB97" s="7" t="n">
        <v>0.0008958862554828066</v>
      </c>
      <c r="AC97" s="7" t="n">
        <v>0.99765364471303</v>
      </c>
      <c r="AD97" s="7" t="n">
        <v>0.00145046903148726</v>
      </c>
      <c r="AE97" t="inlineStr">
        <is>
          <t>Iris-versicolor</t>
        </is>
      </c>
      <c r="AF97" s="9">
        <f>MAX(ABS(V97-AB97),ABS(W97-AC97),ABS(X97-AD97))</f>
        <v/>
      </c>
      <c r="AG97">
        <f>IF(AND(Y97=AE97,AF97&lt;1E-9),"Sí","No")</f>
        <v/>
      </c>
    </row>
    <row r="98">
      <c r="A98" t="n">
        <v>92</v>
      </c>
      <c r="B98" t="inlineStr">
        <is>
          <t>entrenamiento</t>
        </is>
      </c>
      <c r="C98" t="n">
        <v>6.1</v>
      </c>
      <c r="D98" t="n">
        <v>3</v>
      </c>
      <c r="E98" t="n">
        <v>4.6</v>
      </c>
      <c r="F98" t="n">
        <v>1.4</v>
      </c>
      <c r="G98" s="7">
        <f>(C98-'Pesos finales'!$B$31)/'Pesos finales'!$B$32</f>
        <v/>
      </c>
      <c r="H98" s="7">
        <f>(D98-'Pesos finales'!$C$31)/'Pesos finales'!$C$32</f>
        <v/>
      </c>
      <c r="I98" s="7">
        <f>(E98-'Pesos finales'!$D$31)/'Pesos finales'!$D$32</f>
        <v/>
      </c>
      <c r="J98" s="7">
        <f>(F98-'Pesos finales'!$E$31)/'Pesos finales'!$E$32</f>
        <v/>
      </c>
      <c r="K98" s="7">
        <f>TANH(G98*'Pesos finales'!$B$5+H98*'Pesos finales'!$B$6+I98*'Pesos finales'!$B$7+J98*'Pesos finales'!$B$8+'Pesos finales'!$B$12)</f>
        <v/>
      </c>
      <c r="L98" s="7">
        <f>TANH(G98*'Pesos finales'!$C$5+H98*'Pesos finales'!$C$6+I98*'Pesos finales'!$C$7+J98*'Pesos finales'!$C$8+'Pesos finales'!$C$12)</f>
        <v/>
      </c>
      <c r="M98" s="7">
        <f>TANH(G98*'Pesos finales'!$D$5+H98*'Pesos finales'!$D$6+I98*'Pesos finales'!$D$7+J98*'Pesos finales'!$D$8+'Pesos finales'!$D$12)</f>
        <v/>
      </c>
      <c r="N98" s="7">
        <f>TANH(G98*'Pesos finales'!$E$5+H98*'Pesos finales'!$E$6+I98*'Pesos finales'!$E$7+J98*'Pesos finales'!$E$8+'Pesos finales'!$E$12)</f>
        <v/>
      </c>
      <c r="O98" s="7">
        <f>TANH(G98*'Pesos finales'!$F$5+H98*'Pesos finales'!$F$6+I98*'Pesos finales'!$F$7+J98*'Pesos finales'!$F$8+'Pesos finales'!$F$12)</f>
        <v/>
      </c>
      <c r="P98" s="7">
        <f>TANH(G98*'Pesos finales'!$G$5+H98*'Pesos finales'!$G$6+I98*'Pesos finales'!$G$7+J98*'Pesos finales'!$G$8+'Pesos finales'!$G$12)</f>
        <v/>
      </c>
      <c r="Q98" s="7">
        <f>TANH(G98*'Pesos finales'!$H$5+H98*'Pesos finales'!$H$6+I98*'Pesos finales'!$H$7+J98*'Pesos finales'!$H$8+'Pesos finales'!$H$12)</f>
        <v/>
      </c>
      <c r="R98" s="7">
        <f>TANH(G98*'Pesos finales'!$I$5+H98*'Pesos finales'!$I$6+I98*'Pesos finales'!$I$7+J98*'Pesos finales'!$I$8+'Pesos finales'!$I$12)</f>
        <v/>
      </c>
      <c r="S98" s="7">
        <f>K98*'Pesos finales'!$B$16+L98*'Pesos finales'!$B$17+M98*'Pesos finales'!$B$18+N98*'Pesos finales'!$B$19+O98*'Pesos finales'!$B$20+P98*'Pesos finales'!$B$21+Q98*'Pesos finales'!$B$22+R98*'Pesos finales'!$B$23+'Pesos finales'!$B$27</f>
        <v/>
      </c>
      <c r="T98" s="7">
        <f>K98*'Pesos finales'!$C$16+L98*'Pesos finales'!$C$17+M98*'Pesos finales'!$C$18+N98*'Pesos finales'!$C$19+O98*'Pesos finales'!$C$20+P98*'Pesos finales'!$C$21+Q98*'Pesos finales'!$C$22+R98*'Pesos finales'!$C$23+'Pesos finales'!$C$27</f>
        <v/>
      </c>
      <c r="U98" s="7">
        <f>K98*'Pesos finales'!$D$16+L98*'Pesos finales'!$D$17+M98*'Pesos finales'!$D$18+N98*'Pesos finales'!$D$19+O98*'Pesos finales'!$D$20+P98*'Pesos finales'!$D$21+Q98*'Pesos finales'!$D$22+R98*'Pesos finales'!$D$23+'Pesos finales'!$D$27</f>
        <v/>
      </c>
      <c r="V98" s="7">
        <f>EXP(S98)/(EXP(S98)+EXP(T98)+EXP(U98))</f>
        <v/>
      </c>
      <c r="W98" s="7">
        <f>EXP(T98)/(EXP(S98)+EXP(T98)+EXP(U98))</f>
        <v/>
      </c>
      <c r="X98" s="7">
        <f>EXP(U98)/(EXP(S98)+EXP(T98)+EXP(U98))</f>
        <v/>
      </c>
      <c r="Y98">
        <f>IF(AND(V98&gt;=W98,V98&gt;=X98),"Iris-setosa",IF(AND(W98&gt;=X98),"Iris-versicolor","Iris-virginica"))</f>
        <v/>
      </c>
      <c r="Z98" t="inlineStr">
        <is>
          <t>Iris-versicolor</t>
        </is>
      </c>
      <c r="AA98">
        <f>IF(Y98=Z98,"Sí","No")</f>
        <v/>
      </c>
      <c r="AB98" s="7" t="n">
        <v>0.0008416712225392119</v>
      </c>
      <c r="AC98" s="7" t="n">
        <v>0.9957378077869069</v>
      </c>
      <c r="AD98" s="7" t="n">
        <v>0.00342052099055383</v>
      </c>
      <c r="AE98" t="inlineStr">
        <is>
          <t>Iris-versicolor</t>
        </is>
      </c>
      <c r="AF98" s="9">
        <f>MAX(ABS(V98-AB98),ABS(W98-AC98),ABS(X98-AD98))</f>
        <v/>
      </c>
      <c r="AG98">
        <f>IF(AND(Y98=AE98,AF98&lt;1E-9),"Sí","No")</f>
        <v/>
      </c>
    </row>
    <row r="99">
      <c r="A99" t="n">
        <v>93</v>
      </c>
      <c r="B99" t="inlineStr">
        <is>
          <t>entrenamiento</t>
        </is>
      </c>
      <c r="C99" t="n">
        <v>5.8</v>
      </c>
      <c r="D99" t="n">
        <v>2.6</v>
      </c>
      <c r="E99" t="n">
        <v>4</v>
      </c>
      <c r="F99" t="n">
        <v>1.2</v>
      </c>
      <c r="G99" s="7">
        <f>(C99-'Pesos finales'!$B$31)/'Pesos finales'!$B$32</f>
        <v/>
      </c>
      <c r="H99" s="7">
        <f>(D99-'Pesos finales'!$C$31)/'Pesos finales'!$C$32</f>
        <v/>
      </c>
      <c r="I99" s="7">
        <f>(E99-'Pesos finales'!$D$31)/'Pesos finales'!$D$32</f>
        <v/>
      </c>
      <c r="J99" s="7">
        <f>(F99-'Pesos finales'!$E$31)/'Pesos finales'!$E$32</f>
        <v/>
      </c>
      <c r="K99" s="7">
        <f>TANH(G99*'Pesos finales'!$B$5+H99*'Pesos finales'!$B$6+I99*'Pesos finales'!$B$7+J99*'Pesos finales'!$B$8+'Pesos finales'!$B$12)</f>
        <v/>
      </c>
      <c r="L99" s="7">
        <f>TANH(G99*'Pesos finales'!$C$5+H99*'Pesos finales'!$C$6+I99*'Pesos finales'!$C$7+J99*'Pesos finales'!$C$8+'Pesos finales'!$C$12)</f>
        <v/>
      </c>
      <c r="M99" s="7">
        <f>TANH(G99*'Pesos finales'!$D$5+H99*'Pesos finales'!$D$6+I99*'Pesos finales'!$D$7+J99*'Pesos finales'!$D$8+'Pesos finales'!$D$12)</f>
        <v/>
      </c>
      <c r="N99" s="7">
        <f>TANH(G99*'Pesos finales'!$E$5+H99*'Pesos finales'!$E$6+I99*'Pesos finales'!$E$7+J99*'Pesos finales'!$E$8+'Pesos finales'!$E$12)</f>
        <v/>
      </c>
      <c r="O99" s="7">
        <f>TANH(G99*'Pesos finales'!$F$5+H99*'Pesos finales'!$F$6+I99*'Pesos finales'!$F$7+J99*'Pesos finales'!$F$8+'Pesos finales'!$F$12)</f>
        <v/>
      </c>
      <c r="P99" s="7">
        <f>TANH(G99*'Pesos finales'!$G$5+H99*'Pesos finales'!$G$6+I99*'Pesos finales'!$G$7+J99*'Pesos finales'!$G$8+'Pesos finales'!$G$12)</f>
        <v/>
      </c>
      <c r="Q99" s="7">
        <f>TANH(G99*'Pesos finales'!$H$5+H99*'Pesos finales'!$H$6+I99*'Pesos finales'!$H$7+J99*'Pesos finales'!$H$8+'Pesos finales'!$H$12)</f>
        <v/>
      </c>
      <c r="R99" s="7">
        <f>TANH(G99*'Pesos finales'!$I$5+H99*'Pesos finales'!$I$6+I99*'Pesos finales'!$I$7+J99*'Pesos finales'!$I$8+'Pesos finales'!$I$12)</f>
        <v/>
      </c>
      <c r="S99" s="7">
        <f>K99*'Pesos finales'!$B$16+L99*'Pesos finales'!$B$17+M99*'Pesos finales'!$B$18+N99*'Pesos finales'!$B$19+O99*'Pesos finales'!$B$20+P99*'Pesos finales'!$B$21+Q99*'Pesos finales'!$B$22+R99*'Pesos finales'!$B$23+'Pesos finales'!$B$27</f>
        <v/>
      </c>
      <c r="T99" s="7">
        <f>K99*'Pesos finales'!$C$16+L99*'Pesos finales'!$C$17+M99*'Pesos finales'!$C$18+N99*'Pesos finales'!$C$19+O99*'Pesos finales'!$C$20+P99*'Pesos finales'!$C$21+Q99*'Pesos finales'!$C$22+R99*'Pesos finales'!$C$23+'Pesos finales'!$C$27</f>
        <v/>
      </c>
      <c r="U99" s="7">
        <f>K99*'Pesos finales'!$D$16+L99*'Pesos finales'!$D$17+M99*'Pesos finales'!$D$18+N99*'Pesos finales'!$D$19+O99*'Pesos finales'!$D$20+P99*'Pesos finales'!$D$21+Q99*'Pesos finales'!$D$22+R99*'Pesos finales'!$D$23+'Pesos finales'!$D$27</f>
        <v/>
      </c>
      <c r="V99" s="7">
        <f>EXP(S99)/(EXP(S99)+EXP(T99)+EXP(U99))</f>
        <v/>
      </c>
      <c r="W99" s="7">
        <f>EXP(T99)/(EXP(S99)+EXP(T99)+EXP(U99))</f>
        <v/>
      </c>
      <c r="X99" s="7">
        <f>EXP(U99)/(EXP(S99)+EXP(T99)+EXP(U99))</f>
        <v/>
      </c>
      <c r="Y99">
        <f>IF(AND(V99&gt;=W99,V99&gt;=X99),"Iris-setosa",IF(AND(W99&gt;=X99),"Iris-versicolor","Iris-virginica"))</f>
        <v/>
      </c>
      <c r="Z99" t="inlineStr">
        <is>
          <t>Iris-versicolor</t>
        </is>
      </c>
      <c r="AA99">
        <f>IF(Y99=Z99,"Sí","No")</f>
        <v/>
      </c>
      <c r="AB99" s="7" t="n">
        <v>0.0007713044607871396</v>
      </c>
      <c r="AC99" s="7" t="n">
        <v>0.9989354194762298</v>
      </c>
      <c r="AD99" s="7" t="n">
        <v>0.0002932760629829568</v>
      </c>
      <c r="AE99" t="inlineStr">
        <is>
          <t>Iris-versicolor</t>
        </is>
      </c>
      <c r="AF99" s="9">
        <f>MAX(ABS(V99-AB99),ABS(W99-AC99),ABS(X99-AD99))</f>
        <v/>
      </c>
      <c r="AG99">
        <f>IF(AND(Y99=AE99,AF99&lt;1E-9),"Sí","No")</f>
        <v/>
      </c>
    </row>
    <row r="100">
      <c r="A100" t="n">
        <v>94</v>
      </c>
      <c r="B100" t="inlineStr">
        <is>
          <t>entrenamiento</t>
        </is>
      </c>
      <c r="C100" t="n">
        <v>5</v>
      </c>
      <c r="D100" t="n">
        <v>2.3</v>
      </c>
      <c r="E100" t="n">
        <v>3.3</v>
      </c>
      <c r="F100" t="n">
        <v>1</v>
      </c>
      <c r="G100" s="7">
        <f>(C100-'Pesos finales'!$B$31)/'Pesos finales'!$B$32</f>
        <v/>
      </c>
      <c r="H100" s="7">
        <f>(D100-'Pesos finales'!$C$31)/'Pesos finales'!$C$32</f>
        <v/>
      </c>
      <c r="I100" s="7">
        <f>(E100-'Pesos finales'!$D$31)/'Pesos finales'!$D$32</f>
        <v/>
      </c>
      <c r="J100" s="7">
        <f>(F100-'Pesos finales'!$E$31)/'Pesos finales'!$E$32</f>
        <v/>
      </c>
      <c r="K100" s="7">
        <f>TANH(G100*'Pesos finales'!$B$5+H100*'Pesos finales'!$B$6+I100*'Pesos finales'!$B$7+J100*'Pesos finales'!$B$8+'Pesos finales'!$B$12)</f>
        <v/>
      </c>
      <c r="L100" s="7">
        <f>TANH(G100*'Pesos finales'!$C$5+H100*'Pesos finales'!$C$6+I100*'Pesos finales'!$C$7+J100*'Pesos finales'!$C$8+'Pesos finales'!$C$12)</f>
        <v/>
      </c>
      <c r="M100" s="7">
        <f>TANH(G100*'Pesos finales'!$D$5+H100*'Pesos finales'!$D$6+I100*'Pesos finales'!$D$7+J100*'Pesos finales'!$D$8+'Pesos finales'!$D$12)</f>
        <v/>
      </c>
      <c r="N100" s="7">
        <f>TANH(G100*'Pesos finales'!$E$5+H100*'Pesos finales'!$E$6+I100*'Pesos finales'!$E$7+J100*'Pesos finales'!$E$8+'Pesos finales'!$E$12)</f>
        <v/>
      </c>
      <c r="O100" s="7">
        <f>TANH(G100*'Pesos finales'!$F$5+H100*'Pesos finales'!$F$6+I100*'Pesos finales'!$F$7+J100*'Pesos finales'!$F$8+'Pesos finales'!$F$12)</f>
        <v/>
      </c>
      <c r="P100" s="7">
        <f>TANH(G100*'Pesos finales'!$G$5+H100*'Pesos finales'!$G$6+I100*'Pesos finales'!$G$7+J100*'Pesos finales'!$G$8+'Pesos finales'!$G$12)</f>
        <v/>
      </c>
      <c r="Q100" s="7">
        <f>TANH(G100*'Pesos finales'!$H$5+H100*'Pesos finales'!$H$6+I100*'Pesos finales'!$H$7+J100*'Pesos finales'!$H$8+'Pesos finales'!$H$12)</f>
        <v/>
      </c>
      <c r="R100" s="7">
        <f>TANH(G100*'Pesos finales'!$I$5+H100*'Pesos finales'!$I$6+I100*'Pesos finales'!$I$7+J100*'Pesos finales'!$I$8+'Pesos finales'!$I$12)</f>
        <v/>
      </c>
      <c r="S100" s="7">
        <f>K100*'Pesos finales'!$B$16+L100*'Pesos finales'!$B$17+M100*'Pesos finales'!$B$18+N100*'Pesos finales'!$B$19+O100*'Pesos finales'!$B$20+P100*'Pesos finales'!$B$21+Q100*'Pesos finales'!$B$22+R100*'Pesos finales'!$B$23+'Pesos finales'!$B$27</f>
        <v/>
      </c>
      <c r="T100" s="7">
        <f>K100*'Pesos finales'!$C$16+L100*'Pesos finales'!$C$17+M100*'Pesos finales'!$C$18+N100*'Pesos finales'!$C$19+O100*'Pesos finales'!$C$20+P100*'Pesos finales'!$C$21+Q100*'Pesos finales'!$C$22+R100*'Pesos finales'!$C$23+'Pesos finales'!$C$27</f>
        <v/>
      </c>
      <c r="U100" s="7">
        <f>K100*'Pesos finales'!$D$16+L100*'Pesos finales'!$D$17+M100*'Pesos finales'!$D$18+N100*'Pesos finales'!$D$19+O100*'Pesos finales'!$D$20+P100*'Pesos finales'!$D$21+Q100*'Pesos finales'!$D$22+R100*'Pesos finales'!$D$23+'Pesos finales'!$D$27</f>
        <v/>
      </c>
      <c r="V100" s="7">
        <f>EXP(S100)/(EXP(S100)+EXP(T100)+EXP(U100))</f>
        <v/>
      </c>
      <c r="W100" s="7">
        <f>EXP(T100)/(EXP(S100)+EXP(T100)+EXP(U100))</f>
        <v/>
      </c>
      <c r="X100" s="7">
        <f>EXP(U100)/(EXP(S100)+EXP(T100)+EXP(U100))</f>
        <v/>
      </c>
      <c r="Y100">
        <f>IF(AND(V100&gt;=W100,V100&gt;=X100),"Iris-setosa",IF(AND(W100&gt;=X100),"Iris-versicolor","Iris-virginica"))</f>
        <v/>
      </c>
      <c r="Z100" t="inlineStr">
        <is>
          <t>Iris-versicolor</t>
        </is>
      </c>
      <c r="AA100">
        <f>IF(Y100=Z100,"Sí","No")</f>
        <v/>
      </c>
      <c r="AB100" s="7" t="n">
        <v>0.003310043666265334</v>
      </c>
      <c r="AC100" s="7" t="n">
        <v>0.9966471777114657</v>
      </c>
      <c r="AD100" s="7" t="n">
        <v>4.277862226898913e-05</v>
      </c>
      <c r="AE100" t="inlineStr">
        <is>
          <t>Iris-versicolor</t>
        </is>
      </c>
      <c r="AF100" s="9">
        <f>MAX(ABS(V100-AB100),ABS(W100-AC100),ABS(X100-AD100))</f>
        <v/>
      </c>
      <c r="AG100">
        <f>IF(AND(Y100=AE100,AF100&lt;1E-9),"Sí","No")</f>
        <v/>
      </c>
    </row>
    <row r="101">
      <c r="A101" t="n">
        <v>95</v>
      </c>
      <c r="B101" t="inlineStr">
        <is>
          <t>entrenamiento</t>
        </is>
      </c>
      <c r="C101" t="n">
        <v>5.6</v>
      </c>
      <c r="D101" t="n">
        <v>2.7</v>
      </c>
      <c r="E101" t="n">
        <v>4.2</v>
      </c>
      <c r="F101" t="n">
        <v>1.3</v>
      </c>
      <c r="G101" s="7">
        <f>(C101-'Pesos finales'!$B$31)/'Pesos finales'!$B$32</f>
        <v/>
      </c>
      <c r="H101" s="7">
        <f>(D101-'Pesos finales'!$C$31)/'Pesos finales'!$C$32</f>
        <v/>
      </c>
      <c r="I101" s="7">
        <f>(E101-'Pesos finales'!$D$31)/'Pesos finales'!$D$32</f>
        <v/>
      </c>
      <c r="J101" s="7">
        <f>(F101-'Pesos finales'!$E$31)/'Pesos finales'!$E$32</f>
        <v/>
      </c>
      <c r="K101" s="7">
        <f>TANH(G101*'Pesos finales'!$B$5+H101*'Pesos finales'!$B$6+I101*'Pesos finales'!$B$7+J101*'Pesos finales'!$B$8+'Pesos finales'!$B$12)</f>
        <v/>
      </c>
      <c r="L101" s="7">
        <f>TANH(G101*'Pesos finales'!$C$5+H101*'Pesos finales'!$C$6+I101*'Pesos finales'!$C$7+J101*'Pesos finales'!$C$8+'Pesos finales'!$C$12)</f>
        <v/>
      </c>
      <c r="M101" s="7">
        <f>TANH(G101*'Pesos finales'!$D$5+H101*'Pesos finales'!$D$6+I101*'Pesos finales'!$D$7+J101*'Pesos finales'!$D$8+'Pesos finales'!$D$12)</f>
        <v/>
      </c>
      <c r="N101" s="7">
        <f>TANH(G101*'Pesos finales'!$E$5+H101*'Pesos finales'!$E$6+I101*'Pesos finales'!$E$7+J101*'Pesos finales'!$E$8+'Pesos finales'!$E$12)</f>
        <v/>
      </c>
      <c r="O101" s="7">
        <f>TANH(G101*'Pesos finales'!$F$5+H101*'Pesos finales'!$F$6+I101*'Pesos finales'!$F$7+J101*'Pesos finales'!$F$8+'Pesos finales'!$F$12)</f>
        <v/>
      </c>
      <c r="P101" s="7">
        <f>TANH(G101*'Pesos finales'!$G$5+H101*'Pesos finales'!$G$6+I101*'Pesos finales'!$G$7+J101*'Pesos finales'!$G$8+'Pesos finales'!$G$12)</f>
        <v/>
      </c>
      <c r="Q101" s="7">
        <f>TANH(G101*'Pesos finales'!$H$5+H101*'Pesos finales'!$H$6+I101*'Pesos finales'!$H$7+J101*'Pesos finales'!$H$8+'Pesos finales'!$H$12)</f>
        <v/>
      </c>
      <c r="R101" s="7">
        <f>TANH(G101*'Pesos finales'!$I$5+H101*'Pesos finales'!$I$6+I101*'Pesos finales'!$I$7+J101*'Pesos finales'!$I$8+'Pesos finales'!$I$12)</f>
        <v/>
      </c>
      <c r="S101" s="7">
        <f>K101*'Pesos finales'!$B$16+L101*'Pesos finales'!$B$17+M101*'Pesos finales'!$B$18+N101*'Pesos finales'!$B$19+O101*'Pesos finales'!$B$20+P101*'Pesos finales'!$B$21+Q101*'Pesos finales'!$B$22+R101*'Pesos finales'!$B$23+'Pesos finales'!$B$27</f>
        <v/>
      </c>
      <c r="T101" s="7">
        <f>K101*'Pesos finales'!$C$16+L101*'Pesos finales'!$C$17+M101*'Pesos finales'!$C$18+N101*'Pesos finales'!$C$19+O101*'Pesos finales'!$C$20+P101*'Pesos finales'!$C$21+Q101*'Pesos finales'!$C$22+R101*'Pesos finales'!$C$23+'Pesos finales'!$C$27</f>
        <v/>
      </c>
      <c r="U101" s="7">
        <f>K101*'Pesos finales'!$D$16+L101*'Pesos finales'!$D$17+M101*'Pesos finales'!$D$18+N101*'Pesos finales'!$D$19+O101*'Pesos finales'!$D$20+P101*'Pesos finales'!$D$21+Q101*'Pesos finales'!$D$22+R101*'Pesos finales'!$D$23+'Pesos finales'!$D$27</f>
        <v/>
      </c>
      <c r="V101" s="7">
        <f>EXP(S101)/(EXP(S101)+EXP(T101)+EXP(U101))</f>
        <v/>
      </c>
      <c r="W101" s="7">
        <f>EXP(T101)/(EXP(S101)+EXP(T101)+EXP(U101))</f>
        <v/>
      </c>
      <c r="X101" s="7">
        <f>EXP(U101)/(EXP(S101)+EXP(T101)+EXP(U101))</f>
        <v/>
      </c>
      <c r="Y101">
        <f>IF(AND(V101&gt;=W101,V101&gt;=X101),"Iris-setosa",IF(AND(W101&gt;=X101),"Iris-versicolor","Iris-virginica"))</f>
        <v/>
      </c>
      <c r="Z101" t="inlineStr">
        <is>
          <t>Iris-versicolor</t>
        </is>
      </c>
      <c r="AA101">
        <f>IF(Y101=Z101,"Sí","No")</f>
        <v/>
      </c>
      <c r="AB101" s="7" t="n">
        <v>0.00102091051593593</v>
      </c>
      <c r="AC101" s="7" t="n">
        <v>0.9978497916116751</v>
      </c>
      <c r="AD101" s="7" t="n">
        <v>0.001129297872389142</v>
      </c>
      <c r="AE101" t="inlineStr">
        <is>
          <t>Iris-versicolor</t>
        </is>
      </c>
      <c r="AF101" s="9">
        <f>MAX(ABS(V101-AB101),ABS(W101-AC101),ABS(X101-AD101))</f>
        <v/>
      </c>
      <c r="AG101">
        <f>IF(AND(Y101=AE101,AF101&lt;1E-9),"Sí","No")</f>
        <v/>
      </c>
    </row>
    <row r="102">
      <c r="A102" t="n">
        <v>96</v>
      </c>
      <c r="B102" t="inlineStr">
        <is>
          <t>entrenamiento</t>
        </is>
      </c>
      <c r="C102" t="n">
        <v>5.7</v>
      </c>
      <c r="D102" t="n">
        <v>3</v>
      </c>
      <c r="E102" t="n">
        <v>4.2</v>
      </c>
      <c r="F102" t="n">
        <v>1.2</v>
      </c>
      <c r="G102" s="7">
        <f>(C102-'Pesos finales'!$B$31)/'Pesos finales'!$B$32</f>
        <v/>
      </c>
      <c r="H102" s="7">
        <f>(D102-'Pesos finales'!$C$31)/'Pesos finales'!$C$32</f>
        <v/>
      </c>
      <c r="I102" s="7">
        <f>(E102-'Pesos finales'!$D$31)/'Pesos finales'!$D$32</f>
        <v/>
      </c>
      <c r="J102" s="7">
        <f>(F102-'Pesos finales'!$E$31)/'Pesos finales'!$E$32</f>
        <v/>
      </c>
      <c r="K102" s="7">
        <f>TANH(G102*'Pesos finales'!$B$5+H102*'Pesos finales'!$B$6+I102*'Pesos finales'!$B$7+J102*'Pesos finales'!$B$8+'Pesos finales'!$B$12)</f>
        <v/>
      </c>
      <c r="L102" s="7">
        <f>TANH(G102*'Pesos finales'!$C$5+H102*'Pesos finales'!$C$6+I102*'Pesos finales'!$C$7+J102*'Pesos finales'!$C$8+'Pesos finales'!$C$12)</f>
        <v/>
      </c>
      <c r="M102" s="7">
        <f>TANH(G102*'Pesos finales'!$D$5+H102*'Pesos finales'!$D$6+I102*'Pesos finales'!$D$7+J102*'Pesos finales'!$D$8+'Pesos finales'!$D$12)</f>
        <v/>
      </c>
      <c r="N102" s="7">
        <f>TANH(G102*'Pesos finales'!$E$5+H102*'Pesos finales'!$E$6+I102*'Pesos finales'!$E$7+J102*'Pesos finales'!$E$8+'Pesos finales'!$E$12)</f>
        <v/>
      </c>
      <c r="O102" s="7">
        <f>TANH(G102*'Pesos finales'!$F$5+H102*'Pesos finales'!$F$6+I102*'Pesos finales'!$F$7+J102*'Pesos finales'!$F$8+'Pesos finales'!$F$12)</f>
        <v/>
      </c>
      <c r="P102" s="7">
        <f>TANH(G102*'Pesos finales'!$G$5+H102*'Pesos finales'!$G$6+I102*'Pesos finales'!$G$7+J102*'Pesos finales'!$G$8+'Pesos finales'!$G$12)</f>
        <v/>
      </c>
      <c r="Q102" s="7">
        <f>TANH(G102*'Pesos finales'!$H$5+H102*'Pesos finales'!$H$6+I102*'Pesos finales'!$H$7+J102*'Pesos finales'!$H$8+'Pesos finales'!$H$12)</f>
        <v/>
      </c>
      <c r="R102" s="7">
        <f>TANH(G102*'Pesos finales'!$I$5+H102*'Pesos finales'!$I$6+I102*'Pesos finales'!$I$7+J102*'Pesos finales'!$I$8+'Pesos finales'!$I$12)</f>
        <v/>
      </c>
      <c r="S102" s="7">
        <f>K102*'Pesos finales'!$B$16+L102*'Pesos finales'!$B$17+M102*'Pesos finales'!$B$18+N102*'Pesos finales'!$B$19+O102*'Pesos finales'!$B$20+P102*'Pesos finales'!$B$21+Q102*'Pesos finales'!$B$22+R102*'Pesos finales'!$B$23+'Pesos finales'!$B$27</f>
        <v/>
      </c>
      <c r="T102" s="7">
        <f>K102*'Pesos finales'!$C$16+L102*'Pesos finales'!$C$17+M102*'Pesos finales'!$C$18+N102*'Pesos finales'!$C$19+O102*'Pesos finales'!$C$20+P102*'Pesos finales'!$C$21+Q102*'Pesos finales'!$C$22+R102*'Pesos finales'!$C$23+'Pesos finales'!$C$27</f>
        <v/>
      </c>
      <c r="U102" s="7">
        <f>K102*'Pesos finales'!$D$16+L102*'Pesos finales'!$D$17+M102*'Pesos finales'!$D$18+N102*'Pesos finales'!$D$19+O102*'Pesos finales'!$D$20+P102*'Pesos finales'!$D$21+Q102*'Pesos finales'!$D$22+R102*'Pesos finales'!$D$23+'Pesos finales'!$D$27</f>
        <v/>
      </c>
      <c r="V102" s="7">
        <f>EXP(S102)/(EXP(S102)+EXP(T102)+EXP(U102))</f>
        <v/>
      </c>
      <c r="W102" s="7">
        <f>EXP(T102)/(EXP(S102)+EXP(T102)+EXP(U102))</f>
        <v/>
      </c>
      <c r="X102" s="7">
        <f>EXP(U102)/(EXP(S102)+EXP(T102)+EXP(U102))</f>
        <v/>
      </c>
      <c r="Y102">
        <f>IF(AND(V102&gt;=W102,V102&gt;=X102),"Iris-setosa",IF(AND(W102&gt;=X102),"Iris-versicolor","Iris-virginica"))</f>
        <v/>
      </c>
      <c r="Z102" t="inlineStr">
        <is>
          <t>Iris-versicolor</t>
        </is>
      </c>
      <c r="AA102">
        <f>IF(Y102=Z102,"Sí","No")</f>
        <v/>
      </c>
      <c r="AB102" s="7" t="n">
        <v>0.004128116221746054</v>
      </c>
      <c r="AC102" s="7" t="n">
        <v>0.9956904377956355</v>
      </c>
      <c r="AD102" s="7" t="n">
        <v>0.0001814459826184985</v>
      </c>
      <c r="AE102" t="inlineStr">
        <is>
          <t>Iris-versicolor</t>
        </is>
      </c>
      <c r="AF102" s="9">
        <f>MAX(ABS(V102-AB102),ABS(W102-AC102),ABS(X102-AD102))</f>
        <v/>
      </c>
      <c r="AG102">
        <f>IF(AND(Y102=AE102,AF102&lt;1E-9),"Sí","No")</f>
        <v/>
      </c>
    </row>
    <row r="103">
      <c r="A103" t="n">
        <v>97</v>
      </c>
      <c r="B103" t="inlineStr">
        <is>
          <t>entrenamiento</t>
        </is>
      </c>
      <c r="C103" t="n">
        <v>5.7</v>
      </c>
      <c r="D103" t="n">
        <v>2.9</v>
      </c>
      <c r="E103" t="n">
        <v>4.2</v>
      </c>
      <c r="F103" t="n">
        <v>1.3</v>
      </c>
      <c r="G103" s="7">
        <f>(C103-'Pesos finales'!$B$31)/'Pesos finales'!$B$32</f>
        <v/>
      </c>
      <c r="H103" s="7">
        <f>(D103-'Pesos finales'!$C$31)/'Pesos finales'!$C$32</f>
        <v/>
      </c>
      <c r="I103" s="7">
        <f>(E103-'Pesos finales'!$D$31)/'Pesos finales'!$D$32</f>
        <v/>
      </c>
      <c r="J103" s="7">
        <f>(F103-'Pesos finales'!$E$31)/'Pesos finales'!$E$32</f>
        <v/>
      </c>
      <c r="K103" s="7">
        <f>TANH(G103*'Pesos finales'!$B$5+H103*'Pesos finales'!$B$6+I103*'Pesos finales'!$B$7+J103*'Pesos finales'!$B$8+'Pesos finales'!$B$12)</f>
        <v/>
      </c>
      <c r="L103" s="7">
        <f>TANH(G103*'Pesos finales'!$C$5+H103*'Pesos finales'!$C$6+I103*'Pesos finales'!$C$7+J103*'Pesos finales'!$C$8+'Pesos finales'!$C$12)</f>
        <v/>
      </c>
      <c r="M103" s="7">
        <f>TANH(G103*'Pesos finales'!$D$5+H103*'Pesos finales'!$D$6+I103*'Pesos finales'!$D$7+J103*'Pesos finales'!$D$8+'Pesos finales'!$D$12)</f>
        <v/>
      </c>
      <c r="N103" s="7">
        <f>TANH(G103*'Pesos finales'!$E$5+H103*'Pesos finales'!$E$6+I103*'Pesos finales'!$E$7+J103*'Pesos finales'!$E$8+'Pesos finales'!$E$12)</f>
        <v/>
      </c>
      <c r="O103" s="7">
        <f>TANH(G103*'Pesos finales'!$F$5+H103*'Pesos finales'!$F$6+I103*'Pesos finales'!$F$7+J103*'Pesos finales'!$F$8+'Pesos finales'!$F$12)</f>
        <v/>
      </c>
      <c r="P103" s="7">
        <f>TANH(G103*'Pesos finales'!$G$5+H103*'Pesos finales'!$G$6+I103*'Pesos finales'!$G$7+J103*'Pesos finales'!$G$8+'Pesos finales'!$G$12)</f>
        <v/>
      </c>
      <c r="Q103" s="7">
        <f>TANH(G103*'Pesos finales'!$H$5+H103*'Pesos finales'!$H$6+I103*'Pesos finales'!$H$7+J103*'Pesos finales'!$H$8+'Pesos finales'!$H$12)</f>
        <v/>
      </c>
      <c r="R103" s="7">
        <f>TANH(G103*'Pesos finales'!$I$5+H103*'Pesos finales'!$I$6+I103*'Pesos finales'!$I$7+J103*'Pesos finales'!$I$8+'Pesos finales'!$I$12)</f>
        <v/>
      </c>
      <c r="S103" s="7">
        <f>K103*'Pesos finales'!$B$16+L103*'Pesos finales'!$B$17+M103*'Pesos finales'!$B$18+N103*'Pesos finales'!$B$19+O103*'Pesos finales'!$B$20+P103*'Pesos finales'!$B$21+Q103*'Pesos finales'!$B$22+R103*'Pesos finales'!$B$23+'Pesos finales'!$B$27</f>
        <v/>
      </c>
      <c r="T103" s="7">
        <f>K103*'Pesos finales'!$C$16+L103*'Pesos finales'!$C$17+M103*'Pesos finales'!$C$18+N103*'Pesos finales'!$C$19+O103*'Pesos finales'!$C$20+P103*'Pesos finales'!$C$21+Q103*'Pesos finales'!$C$22+R103*'Pesos finales'!$C$23+'Pesos finales'!$C$27</f>
        <v/>
      </c>
      <c r="U103" s="7">
        <f>K103*'Pesos finales'!$D$16+L103*'Pesos finales'!$D$17+M103*'Pesos finales'!$D$18+N103*'Pesos finales'!$D$19+O103*'Pesos finales'!$D$20+P103*'Pesos finales'!$D$21+Q103*'Pesos finales'!$D$22+R103*'Pesos finales'!$D$23+'Pesos finales'!$D$27</f>
        <v/>
      </c>
      <c r="V103" s="7">
        <f>EXP(S103)/(EXP(S103)+EXP(T103)+EXP(U103))</f>
        <v/>
      </c>
      <c r="W103" s="7">
        <f>EXP(T103)/(EXP(S103)+EXP(T103)+EXP(U103))</f>
        <v/>
      </c>
      <c r="X103" s="7">
        <f>EXP(U103)/(EXP(S103)+EXP(T103)+EXP(U103))</f>
        <v/>
      </c>
      <c r="Y103">
        <f>IF(AND(V103&gt;=W103,V103&gt;=X103),"Iris-setosa",IF(AND(W103&gt;=X103),"Iris-versicolor","Iris-virginica"))</f>
        <v/>
      </c>
      <c r="Z103" t="inlineStr">
        <is>
          <t>Iris-versicolor</t>
        </is>
      </c>
      <c r="AA103">
        <f>IF(Y103=Z103,"Sí","No")</f>
        <v/>
      </c>
      <c r="AB103" s="7" t="n">
        <v>0.001874302439052634</v>
      </c>
      <c r="AC103" s="7" t="n">
        <v>0.997609720011204</v>
      </c>
      <c r="AD103" s="7" t="n">
        <v>0.0005159775497434338</v>
      </c>
      <c r="AE103" t="inlineStr">
        <is>
          <t>Iris-versicolor</t>
        </is>
      </c>
      <c r="AF103" s="9">
        <f>MAX(ABS(V103-AB103),ABS(W103-AC103),ABS(X103-AD103))</f>
        <v/>
      </c>
      <c r="AG103">
        <f>IF(AND(Y103=AE103,AF103&lt;1E-9),"Sí","No")</f>
        <v/>
      </c>
    </row>
    <row r="104">
      <c r="A104" t="n">
        <v>98</v>
      </c>
      <c r="B104" t="inlineStr">
        <is>
          <t>entrenamiento</t>
        </is>
      </c>
      <c r="C104" t="n">
        <v>6.2</v>
      </c>
      <c r="D104" t="n">
        <v>2.9</v>
      </c>
      <c r="E104" t="n">
        <v>4.3</v>
      </c>
      <c r="F104" t="n">
        <v>1.3</v>
      </c>
      <c r="G104" s="7">
        <f>(C104-'Pesos finales'!$B$31)/'Pesos finales'!$B$32</f>
        <v/>
      </c>
      <c r="H104" s="7">
        <f>(D104-'Pesos finales'!$C$31)/'Pesos finales'!$C$32</f>
        <v/>
      </c>
      <c r="I104" s="7">
        <f>(E104-'Pesos finales'!$D$31)/'Pesos finales'!$D$32</f>
        <v/>
      </c>
      <c r="J104" s="7">
        <f>(F104-'Pesos finales'!$E$31)/'Pesos finales'!$E$32</f>
        <v/>
      </c>
      <c r="K104" s="7">
        <f>TANH(G104*'Pesos finales'!$B$5+H104*'Pesos finales'!$B$6+I104*'Pesos finales'!$B$7+J104*'Pesos finales'!$B$8+'Pesos finales'!$B$12)</f>
        <v/>
      </c>
      <c r="L104" s="7">
        <f>TANH(G104*'Pesos finales'!$C$5+H104*'Pesos finales'!$C$6+I104*'Pesos finales'!$C$7+J104*'Pesos finales'!$C$8+'Pesos finales'!$C$12)</f>
        <v/>
      </c>
      <c r="M104" s="7">
        <f>TANH(G104*'Pesos finales'!$D$5+H104*'Pesos finales'!$D$6+I104*'Pesos finales'!$D$7+J104*'Pesos finales'!$D$8+'Pesos finales'!$D$12)</f>
        <v/>
      </c>
      <c r="N104" s="7">
        <f>TANH(G104*'Pesos finales'!$E$5+H104*'Pesos finales'!$E$6+I104*'Pesos finales'!$E$7+J104*'Pesos finales'!$E$8+'Pesos finales'!$E$12)</f>
        <v/>
      </c>
      <c r="O104" s="7">
        <f>TANH(G104*'Pesos finales'!$F$5+H104*'Pesos finales'!$F$6+I104*'Pesos finales'!$F$7+J104*'Pesos finales'!$F$8+'Pesos finales'!$F$12)</f>
        <v/>
      </c>
      <c r="P104" s="7">
        <f>TANH(G104*'Pesos finales'!$G$5+H104*'Pesos finales'!$G$6+I104*'Pesos finales'!$G$7+J104*'Pesos finales'!$G$8+'Pesos finales'!$G$12)</f>
        <v/>
      </c>
      <c r="Q104" s="7">
        <f>TANH(G104*'Pesos finales'!$H$5+H104*'Pesos finales'!$H$6+I104*'Pesos finales'!$H$7+J104*'Pesos finales'!$H$8+'Pesos finales'!$H$12)</f>
        <v/>
      </c>
      <c r="R104" s="7">
        <f>TANH(G104*'Pesos finales'!$I$5+H104*'Pesos finales'!$I$6+I104*'Pesos finales'!$I$7+J104*'Pesos finales'!$I$8+'Pesos finales'!$I$12)</f>
        <v/>
      </c>
      <c r="S104" s="7">
        <f>K104*'Pesos finales'!$B$16+L104*'Pesos finales'!$B$17+M104*'Pesos finales'!$B$18+N104*'Pesos finales'!$B$19+O104*'Pesos finales'!$B$20+P104*'Pesos finales'!$B$21+Q104*'Pesos finales'!$B$22+R104*'Pesos finales'!$B$23+'Pesos finales'!$B$27</f>
        <v/>
      </c>
      <c r="T104" s="7">
        <f>K104*'Pesos finales'!$C$16+L104*'Pesos finales'!$C$17+M104*'Pesos finales'!$C$18+N104*'Pesos finales'!$C$19+O104*'Pesos finales'!$C$20+P104*'Pesos finales'!$C$21+Q104*'Pesos finales'!$C$22+R104*'Pesos finales'!$C$23+'Pesos finales'!$C$27</f>
        <v/>
      </c>
      <c r="U104" s="7">
        <f>K104*'Pesos finales'!$D$16+L104*'Pesos finales'!$D$17+M104*'Pesos finales'!$D$18+N104*'Pesos finales'!$D$19+O104*'Pesos finales'!$D$20+P104*'Pesos finales'!$D$21+Q104*'Pesos finales'!$D$22+R104*'Pesos finales'!$D$23+'Pesos finales'!$D$27</f>
        <v/>
      </c>
      <c r="V104" s="7">
        <f>EXP(S104)/(EXP(S104)+EXP(T104)+EXP(U104))</f>
        <v/>
      </c>
      <c r="W104" s="7">
        <f>EXP(T104)/(EXP(S104)+EXP(T104)+EXP(U104))</f>
        <v/>
      </c>
      <c r="X104" s="7">
        <f>EXP(U104)/(EXP(S104)+EXP(T104)+EXP(U104))</f>
        <v/>
      </c>
      <c r="Y104">
        <f>IF(AND(V104&gt;=W104,V104&gt;=X104),"Iris-setosa",IF(AND(W104&gt;=X104),"Iris-versicolor","Iris-virginica"))</f>
        <v/>
      </c>
      <c r="Z104" t="inlineStr">
        <is>
          <t>Iris-versicolor</t>
        </is>
      </c>
      <c r="AA104">
        <f>IF(Y104=Z104,"Sí","No")</f>
        <v/>
      </c>
      <c r="AB104" s="7" t="n">
        <v>0.0007579230250020882</v>
      </c>
      <c r="AC104" s="7" t="n">
        <v>0.9986954043071511</v>
      </c>
      <c r="AD104" s="7" t="n">
        <v>0.0005466726678466994</v>
      </c>
      <c r="AE104" t="inlineStr">
        <is>
          <t>Iris-versicolor</t>
        </is>
      </c>
      <c r="AF104" s="9">
        <f>MAX(ABS(V104-AB104),ABS(W104-AC104),ABS(X104-AD104))</f>
        <v/>
      </c>
      <c r="AG104">
        <f>IF(AND(Y104=AE104,AF104&lt;1E-9),"Sí","No")</f>
        <v/>
      </c>
    </row>
    <row r="105">
      <c r="A105" t="n">
        <v>99</v>
      </c>
      <c r="B105" t="inlineStr">
        <is>
          <t>prueba</t>
        </is>
      </c>
      <c r="C105" t="n">
        <v>5.1</v>
      </c>
      <c r="D105" t="n">
        <v>2.5</v>
      </c>
      <c r="E105" t="n">
        <v>3</v>
      </c>
      <c r="F105" t="n">
        <v>1.1</v>
      </c>
      <c r="G105" s="7">
        <f>(C105-'Pesos finales'!$B$31)/'Pesos finales'!$B$32</f>
        <v/>
      </c>
      <c r="H105" s="7">
        <f>(D105-'Pesos finales'!$C$31)/'Pesos finales'!$C$32</f>
        <v/>
      </c>
      <c r="I105" s="7">
        <f>(E105-'Pesos finales'!$D$31)/'Pesos finales'!$D$32</f>
        <v/>
      </c>
      <c r="J105" s="7">
        <f>(F105-'Pesos finales'!$E$31)/'Pesos finales'!$E$32</f>
        <v/>
      </c>
      <c r="K105" s="7">
        <f>TANH(G105*'Pesos finales'!$B$5+H105*'Pesos finales'!$B$6+I105*'Pesos finales'!$B$7+J105*'Pesos finales'!$B$8+'Pesos finales'!$B$12)</f>
        <v/>
      </c>
      <c r="L105" s="7">
        <f>TANH(G105*'Pesos finales'!$C$5+H105*'Pesos finales'!$C$6+I105*'Pesos finales'!$C$7+J105*'Pesos finales'!$C$8+'Pesos finales'!$C$12)</f>
        <v/>
      </c>
      <c r="M105" s="7">
        <f>TANH(G105*'Pesos finales'!$D$5+H105*'Pesos finales'!$D$6+I105*'Pesos finales'!$D$7+J105*'Pesos finales'!$D$8+'Pesos finales'!$D$12)</f>
        <v/>
      </c>
      <c r="N105" s="7">
        <f>TANH(G105*'Pesos finales'!$E$5+H105*'Pesos finales'!$E$6+I105*'Pesos finales'!$E$7+J105*'Pesos finales'!$E$8+'Pesos finales'!$E$12)</f>
        <v/>
      </c>
      <c r="O105" s="7">
        <f>TANH(G105*'Pesos finales'!$F$5+H105*'Pesos finales'!$F$6+I105*'Pesos finales'!$F$7+J105*'Pesos finales'!$F$8+'Pesos finales'!$F$12)</f>
        <v/>
      </c>
      <c r="P105" s="7">
        <f>TANH(G105*'Pesos finales'!$G$5+H105*'Pesos finales'!$G$6+I105*'Pesos finales'!$G$7+J105*'Pesos finales'!$G$8+'Pesos finales'!$G$12)</f>
        <v/>
      </c>
      <c r="Q105" s="7">
        <f>TANH(G105*'Pesos finales'!$H$5+H105*'Pesos finales'!$H$6+I105*'Pesos finales'!$H$7+J105*'Pesos finales'!$H$8+'Pesos finales'!$H$12)</f>
        <v/>
      </c>
      <c r="R105" s="7">
        <f>TANH(G105*'Pesos finales'!$I$5+H105*'Pesos finales'!$I$6+I105*'Pesos finales'!$I$7+J105*'Pesos finales'!$I$8+'Pesos finales'!$I$12)</f>
        <v/>
      </c>
      <c r="S105" s="7">
        <f>K105*'Pesos finales'!$B$16+L105*'Pesos finales'!$B$17+M105*'Pesos finales'!$B$18+N105*'Pesos finales'!$B$19+O105*'Pesos finales'!$B$20+P105*'Pesos finales'!$B$21+Q105*'Pesos finales'!$B$22+R105*'Pesos finales'!$B$23+'Pesos finales'!$B$27</f>
        <v/>
      </c>
      <c r="T105" s="7">
        <f>K105*'Pesos finales'!$C$16+L105*'Pesos finales'!$C$17+M105*'Pesos finales'!$C$18+N105*'Pesos finales'!$C$19+O105*'Pesos finales'!$C$20+P105*'Pesos finales'!$C$21+Q105*'Pesos finales'!$C$22+R105*'Pesos finales'!$C$23+'Pesos finales'!$C$27</f>
        <v/>
      </c>
      <c r="U105" s="7">
        <f>K105*'Pesos finales'!$D$16+L105*'Pesos finales'!$D$17+M105*'Pesos finales'!$D$18+N105*'Pesos finales'!$D$19+O105*'Pesos finales'!$D$20+P105*'Pesos finales'!$D$21+Q105*'Pesos finales'!$D$22+R105*'Pesos finales'!$D$23+'Pesos finales'!$D$27</f>
        <v/>
      </c>
      <c r="V105" s="7">
        <f>EXP(S105)/(EXP(S105)+EXP(T105)+EXP(U105))</f>
        <v/>
      </c>
      <c r="W105" s="7">
        <f>EXP(T105)/(EXP(S105)+EXP(T105)+EXP(U105))</f>
        <v/>
      </c>
      <c r="X105" s="7">
        <f>EXP(U105)/(EXP(S105)+EXP(T105)+EXP(U105))</f>
        <v/>
      </c>
      <c r="Y105">
        <f>IF(AND(V105&gt;=W105,V105&gt;=X105),"Iris-setosa",IF(AND(W105&gt;=X105),"Iris-versicolor","Iris-virginica"))</f>
        <v/>
      </c>
      <c r="Z105" t="inlineStr">
        <is>
          <t>Iris-versicolor</t>
        </is>
      </c>
      <c r="AA105">
        <f>IF(Y105=Z105,"Sí","No")</f>
        <v/>
      </c>
      <c r="AB105" s="7" t="n">
        <v>0.0112928776469318</v>
      </c>
      <c r="AC105" s="7" t="n">
        <v>0.9886716234220591</v>
      </c>
      <c r="AD105" s="7" t="n">
        <v>3.549893100923572e-05</v>
      </c>
      <c r="AE105" t="inlineStr">
        <is>
          <t>Iris-versicolor</t>
        </is>
      </c>
      <c r="AF105" s="9">
        <f>MAX(ABS(V105-AB105),ABS(W105-AC105),ABS(X105-AD105))</f>
        <v/>
      </c>
      <c r="AG105">
        <f>IF(AND(Y105=AE105,AF105&lt;1E-9),"Sí","No")</f>
        <v/>
      </c>
    </row>
    <row r="106">
      <c r="A106" t="n">
        <v>100</v>
      </c>
      <c r="B106" t="inlineStr">
        <is>
          <t>entrenamiento</t>
        </is>
      </c>
      <c r="C106" t="n">
        <v>5.7</v>
      </c>
      <c r="D106" t="n">
        <v>2.8</v>
      </c>
      <c r="E106" t="n">
        <v>4.1</v>
      </c>
      <c r="F106" t="n">
        <v>1.3</v>
      </c>
      <c r="G106" s="7">
        <f>(C106-'Pesos finales'!$B$31)/'Pesos finales'!$B$32</f>
        <v/>
      </c>
      <c r="H106" s="7">
        <f>(D106-'Pesos finales'!$C$31)/'Pesos finales'!$C$32</f>
        <v/>
      </c>
      <c r="I106" s="7">
        <f>(E106-'Pesos finales'!$D$31)/'Pesos finales'!$D$32</f>
        <v/>
      </c>
      <c r="J106" s="7">
        <f>(F106-'Pesos finales'!$E$31)/'Pesos finales'!$E$32</f>
        <v/>
      </c>
      <c r="K106" s="7">
        <f>TANH(G106*'Pesos finales'!$B$5+H106*'Pesos finales'!$B$6+I106*'Pesos finales'!$B$7+J106*'Pesos finales'!$B$8+'Pesos finales'!$B$12)</f>
        <v/>
      </c>
      <c r="L106" s="7">
        <f>TANH(G106*'Pesos finales'!$C$5+H106*'Pesos finales'!$C$6+I106*'Pesos finales'!$C$7+J106*'Pesos finales'!$C$8+'Pesos finales'!$C$12)</f>
        <v/>
      </c>
      <c r="M106" s="7">
        <f>TANH(G106*'Pesos finales'!$D$5+H106*'Pesos finales'!$D$6+I106*'Pesos finales'!$D$7+J106*'Pesos finales'!$D$8+'Pesos finales'!$D$12)</f>
        <v/>
      </c>
      <c r="N106" s="7">
        <f>TANH(G106*'Pesos finales'!$E$5+H106*'Pesos finales'!$E$6+I106*'Pesos finales'!$E$7+J106*'Pesos finales'!$E$8+'Pesos finales'!$E$12)</f>
        <v/>
      </c>
      <c r="O106" s="7">
        <f>TANH(G106*'Pesos finales'!$F$5+H106*'Pesos finales'!$F$6+I106*'Pesos finales'!$F$7+J106*'Pesos finales'!$F$8+'Pesos finales'!$F$12)</f>
        <v/>
      </c>
      <c r="P106" s="7">
        <f>TANH(G106*'Pesos finales'!$G$5+H106*'Pesos finales'!$G$6+I106*'Pesos finales'!$G$7+J106*'Pesos finales'!$G$8+'Pesos finales'!$G$12)</f>
        <v/>
      </c>
      <c r="Q106" s="7">
        <f>TANH(G106*'Pesos finales'!$H$5+H106*'Pesos finales'!$H$6+I106*'Pesos finales'!$H$7+J106*'Pesos finales'!$H$8+'Pesos finales'!$H$12)</f>
        <v/>
      </c>
      <c r="R106" s="7">
        <f>TANH(G106*'Pesos finales'!$I$5+H106*'Pesos finales'!$I$6+I106*'Pesos finales'!$I$7+J106*'Pesos finales'!$I$8+'Pesos finales'!$I$12)</f>
        <v/>
      </c>
      <c r="S106" s="7">
        <f>K106*'Pesos finales'!$B$16+L106*'Pesos finales'!$B$17+M106*'Pesos finales'!$B$18+N106*'Pesos finales'!$B$19+O106*'Pesos finales'!$B$20+P106*'Pesos finales'!$B$21+Q106*'Pesos finales'!$B$22+R106*'Pesos finales'!$B$23+'Pesos finales'!$B$27</f>
        <v/>
      </c>
      <c r="T106" s="7">
        <f>K106*'Pesos finales'!$C$16+L106*'Pesos finales'!$C$17+M106*'Pesos finales'!$C$18+N106*'Pesos finales'!$C$19+O106*'Pesos finales'!$C$20+P106*'Pesos finales'!$C$21+Q106*'Pesos finales'!$C$22+R106*'Pesos finales'!$C$23+'Pesos finales'!$C$27</f>
        <v/>
      </c>
      <c r="U106" s="7">
        <f>K106*'Pesos finales'!$D$16+L106*'Pesos finales'!$D$17+M106*'Pesos finales'!$D$18+N106*'Pesos finales'!$D$19+O106*'Pesos finales'!$D$20+P106*'Pesos finales'!$D$21+Q106*'Pesos finales'!$D$22+R106*'Pesos finales'!$D$23+'Pesos finales'!$D$27</f>
        <v/>
      </c>
      <c r="V106" s="7">
        <f>EXP(S106)/(EXP(S106)+EXP(T106)+EXP(U106))</f>
        <v/>
      </c>
      <c r="W106" s="7">
        <f>EXP(T106)/(EXP(S106)+EXP(T106)+EXP(U106))</f>
        <v/>
      </c>
      <c r="X106" s="7">
        <f>EXP(U106)/(EXP(S106)+EXP(T106)+EXP(U106))</f>
        <v/>
      </c>
      <c r="Y106">
        <f>IF(AND(V106&gt;=W106,V106&gt;=X106),"Iris-setosa",IF(AND(W106&gt;=X106),"Iris-versicolor","Iris-virginica"))</f>
        <v/>
      </c>
      <c r="Z106" t="inlineStr">
        <is>
          <t>Iris-versicolor</t>
        </is>
      </c>
      <c r="AA106">
        <f>IF(Y106=Z106,"Sí","No")</f>
        <v/>
      </c>
      <c r="AB106" s="7" t="n">
        <v>0.001346248321708063</v>
      </c>
      <c r="AC106" s="7" t="n">
        <v>0.9981524245720272</v>
      </c>
      <c r="AD106" s="7" t="n">
        <v>0.0005013271062647488</v>
      </c>
      <c r="AE106" t="inlineStr">
        <is>
          <t>Iris-versicolor</t>
        </is>
      </c>
      <c r="AF106" s="9">
        <f>MAX(ABS(V106-AB106),ABS(W106-AC106),ABS(X106-AD106))</f>
        <v/>
      </c>
      <c r="AG106">
        <f>IF(AND(Y106=AE106,AF106&lt;1E-9),"Sí","No")</f>
        <v/>
      </c>
    </row>
    <row r="107">
      <c r="A107" t="n">
        <v>101</v>
      </c>
      <c r="B107" t="inlineStr">
        <is>
          <t>entrenamiento</t>
        </is>
      </c>
      <c r="C107" t="n">
        <v>6.3</v>
      </c>
      <c r="D107" t="n">
        <v>3.3</v>
      </c>
      <c r="E107" t="n">
        <v>6</v>
      </c>
      <c r="F107" t="n">
        <v>2.5</v>
      </c>
      <c r="G107" s="7">
        <f>(C107-'Pesos finales'!$B$31)/'Pesos finales'!$B$32</f>
        <v/>
      </c>
      <c r="H107" s="7">
        <f>(D107-'Pesos finales'!$C$31)/'Pesos finales'!$C$32</f>
        <v/>
      </c>
      <c r="I107" s="7">
        <f>(E107-'Pesos finales'!$D$31)/'Pesos finales'!$D$32</f>
        <v/>
      </c>
      <c r="J107" s="7">
        <f>(F107-'Pesos finales'!$E$31)/'Pesos finales'!$E$32</f>
        <v/>
      </c>
      <c r="K107" s="7">
        <f>TANH(G107*'Pesos finales'!$B$5+H107*'Pesos finales'!$B$6+I107*'Pesos finales'!$B$7+J107*'Pesos finales'!$B$8+'Pesos finales'!$B$12)</f>
        <v/>
      </c>
      <c r="L107" s="7">
        <f>TANH(G107*'Pesos finales'!$C$5+H107*'Pesos finales'!$C$6+I107*'Pesos finales'!$C$7+J107*'Pesos finales'!$C$8+'Pesos finales'!$C$12)</f>
        <v/>
      </c>
      <c r="M107" s="7">
        <f>TANH(G107*'Pesos finales'!$D$5+H107*'Pesos finales'!$D$6+I107*'Pesos finales'!$D$7+J107*'Pesos finales'!$D$8+'Pesos finales'!$D$12)</f>
        <v/>
      </c>
      <c r="N107" s="7">
        <f>TANH(G107*'Pesos finales'!$E$5+H107*'Pesos finales'!$E$6+I107*'Pesos finales'!$E$7+J107*'Pesos finales'!$E$8+'Pesos finales'!$E$12)</f>
        <v/>
      </c>
      <c r="O107" s="7">
        <f>TANH(G107*'Pesos finales'!$F$5+H107*'Pesos finales'!$F$6+I107*'Pesos finales'!$F$7+J107*'Pesos finales'!$F$8+'Pesos finales'!$F$12)</f>
        <v/>
      </c>
      <c r="P107" s="7">
        <f>TANH(G107*'Pesos finales'!$G$5+H107*'Pesos finales'!$G$6+I107*'Pesos finales'!$G$7+J107*'Pesos finales'!$G$8+'Pesos finales'!$G$12)</f>
        <v/>
      </c>
      <c r="Q107" s="7">
        <f>TANH(G107*'Pesos finales'!$H$5+H107*'Pesos finales'!$H$6+I107*'Pesos finales'!$H$7+J107*'Pesos finales'!$H$8+'Pesos finales'!$H$12)</f>
        <v/>
      </c>
      <c r="R107" s="7">
        <f>TANH(G107*'Pesos finales'!$I$5+H107*'Pesos finales'!$I$6+I107*'Pesos finales'!$I$7+J107*'Pesos finales'!$I$8+'Pesos finales'!$I$12)</f>
        <v/>
      </c>
      <c r="S107" s="7">
        <f>K107*'Pesos finales'!$B$16+L107*'Pesos finales'!$B$17+M107*'Pesos finales'!$B$18+N107*'Pesos finales'!$B$19+O107*'Pesos finales'!$B$20+P107*'Pesos finales'!$B$21+Q107*'Pesos finales'!$B$22+R107*'Pesos finales'!$B$23+'Pesos finales'!$B$27</f>
        <v/>
      </c>
      <c r="T107" s="7">
        <f>K107*'Pesos finales'!$C$16+L107*'Pesos finales'!$C$17+M107*'Pesos finales'!$C$18+N107*'Pesos finales'!$C$19+O107*'Pesos finales'!$C$20+P107*'Pesos finales'!$C$21+Q107*'Pesos finales'!$C$22+R107*'Pesos finales'!$C$23+'Pesos finales'!$C$27</f>
        <v/>
      </c>
      <c r="U107" s="7">
        <f>K107*'Pesos finales'!$D$16+L107*'Pesos finales'!$D$17+M107*'Pesos finales'!$D$18+N107*'Pesos finales'!$D$19+O107*'Pesos finales'!$D$20+P107*'Pesos finales'!$D$21+Q107*'Pesos finales'!$D$22+R107*'Pesos finales'!$D$23+'Pesos finales'!$D$27</f>
        <v/>
      </c>
      <c r="V107" s="7">
        <f>EXP(S107)/(EXP(S107)+EXP(T107)+EXP(U107))</f>
        <v/>
      </c>
      <c r="W107" s="7">
        <f>EXP(T107)/(EXP(S107)+EXP(T107)+EXP(U107))</f>
        <v/>
      </c>
      <c r="X107" s="7">
        <f>EXP(U107)/(EXP(S107)+EXP(T107)+EXP(U107))</f>
        <v/>
      </c>
      <c r="Y107">
        <f>IF(AND(V107&gt;=W107,V107&gt;=X107),"Iris-setosa",IF(AND(W107&gt;=X107),"Iris-versicolor","Iris-virginica"))</f>
        <v/>
      </c>
      <c r="Z107" t="inlineStr">
        <is>
          <t>Iris-virginica</t>
        </is>
      </c>
      <c r="AA107">
        <f>IF(Y107=Z107,"Sí","No")</f>
        <v/>
      </c>
      <c r="AB107" s="7" t="n">
        <v>2.390293656575147e-07</v>
      </c>
      <c r="AC107" s="7" t="n">
        <v>0.0004676112362225627</v>
      </c>
      <c r="AD107" s="7" t="n">
        <v>0.9995321497344117</v>
      </c>
      <c r="AE107" t="inlineStr">
        <is>
          <t>Iris-virginica</t>
        </is>
      </c>
      <c r="AF107" s="9">
        <f>MAX(ABS(V107-AB107),ABS(W107-AC107),ABS(X107-AD107))</f>
        <v/>
      </c>
      <c r="AG107">
        <f>IF(AND(Y107=AE107,AF107&lt;1E-9),"Sí","No")</f>
        <v/>
      </c>
    </row>
    <row r="108">
      <c r="A108" t="n">
        <v>102</v>
      </c>
      <c r="B108" t="inlineStr">
        <is>
          <t>entrenamiento</t>
        </is>
      </c>
      <c r="C108" t="n">
        <v>5.8</v>
      </c>
      <c r="D108" t="n">
        <v>2.7</v>
      </c>
      <c r="E108" t="n">
        <v>5.1</v>
      </c>
      <c r="F108" t="n">
        <v>1.9</v>
      </c>
      <c r="G108" s="7">
        <f>(C108-'Pesos finales'!$B$31)/'Pesos finales'!$B$32</f>
        <v/>
      </c>
      <c r="H108" s="7">
        <f>(D108-'Pesos finales'!$C$31)/'Pesos finales'!$C$32</f>
        <v/>
      </c>
      <c r="I108" s="7">
        <f>(E108-'Pesos finales'!$D$31)/'Pesos finales'!$D$32</f>
        <v/>
      </c>
      <c r="J108" s="7">
        <f>(F108-'Pesos finales'!$E$31)/'Pesos finales'!$E$32</f>
        <v/>
      </c>
      <c r="K108" s="7">
        <f>TANH(G108*'Pesos finales'!$B$5+H108*'Pesos finales'!$B$6+I108*'Pesos finales'!$B$7+J108*'Pesos finales'!$B$8+'Pesos finales'!$B$12)</f>
        <v/>
      </c>
      <c r="L108" s="7">
        <f>TANH(G108*'Pesos finales'!$C$5+H108*'Pesos finales'!$C$6+I108*'Pesos finales'!$C$7+J108*'Pesos finales'!$C$8+'Pesos finales'!$C$12)</f>
        <v/>
      </c>
      <c r="M108" s="7">
        <f>TANH(G108*'Pesos finales'!$D$5+H108*'Pesos finales'!$D$6+I108*'Pesos finales'!$D$7+J108*'Pesos finales'!$D$8+'Pesos finales'!$D$12)</f>
        <v/>
      </c>
      <c r="N108" s="7">
        <f>TANH(G108*'Pesos finales'!$E$5+H108*'Pesos finales'!$E$6+I108*'Pesos finales'!$E$7+J108*'Pesos finales'!$E$8+'Pesos finales'!$E$12)</f>
        <v/>
      </c>
      <c r="O108" s="7">
        <f>TANH(G108*'Pesos finales'!$F$5+H108*'Pesos finales'!$F$6+I108*'Pesos finales'!$F$7+J108*'Pesos finales'!$F$8+'Pesos finales'!$F$12)</f>
        <v/>
      </c>
      <c r="P108" s="7">
        <f>TANH(G108*'Pesos finales'!$G$5+H108*'Pesos finales'!$G$6+I108*'Pesos finales'!$G$7+J108*'Pesos finales'!$G$8+'Pesos finales'!$G$12)</f>
        <v/>
      </c>
      <c r="Q108" s="7">
        <f>TANH(G108*'Pesos finales'!$H$5+H108*'Pesos finales'!$H$6+I108*'Pesos finales'!$H$7+J108*'Pesos finales'!$H$8+'Pesos finales'!$H$12)</f>
        <v/>
      </c>
      <c r="R108" s="7">
        <f>TANH(G108*'Pesos finales'!$I$5+H108*'Pesos finales'!$I$6+I108*'Pesos finales'!$I$7+J108*'Pesos finales'!$I$8+'Pesos finales'!$I$12)</f>
        <v/>
      </c>
      <c r="S108" s="7">
        <f>K108*'Pesos finales'!$B$16+L108*'Pesos finales'!$B$17+M108*'Pesos finales'!$B$18+N108*'Pesos finales'!$B$19+O108*'Pesos finales'!$B$20+P108*'Pesos finales'!$B$21+Q108*'Pesos finales'!$B$22+R108*'Pesos finales'!$B$23+'Pesos finales'!$B$27</f>
        <v/>
      </c>
      <c r="T108" s="7">
        <f>K108*'Pesos finales'!$C$16+L108*'Pesos finales'!$C$17+M108*'Pesos finales'!$C$18+N108*'Pesos finales'!$C$19+O108*'Pesos finales'!$C$20+P108*'Pesos finales'!$C$21+Q108*'Pesos finales'!$C$22+R108*'Pesos finales'!$C$23+'Pesos finales'!$C$27</f>
        <v/>
      </c>
      <c r="U108" s="7">
        <f>K108*'Pesos finales'!$D$16+L108*'Pesos finales'!$D$17+M108*'Pesos finales'!$D$18+N108*'Pesos finales'!$D$19+O108*'Pesos finales'!$D$20+P108*'Pesos finales'!$D$21+Q108*'Pesos finales'!$D$22+R108*'Pesos finales'!$D$23+'Pesos finales'!$D$27</f>
        <v/>
      </c>
      <c r="V108" s="7">
        <f>EXP(S108)/(EXP(S108)+EXP(T108)+EXP(U108))</f>
        <v/>
      </c>
      <c r="W108" s="7">
        <f>EXP(T108)/(EXP(S108)+EXP(T108)+EXP(U108))</f>
        <v/>
      </c>
      <c r="X108" s="7">
        <f>EXP(U108)/(EXP(S108)+EXP(T108)+EXP(U108))</f>
        <v/>
      </c>
      <c r="Y108">
        <f>IF(AND(V108&gt;=W108,V108&gt;=X108),"Iris-setosa",IF(AND(W108&gt;=X108),"Iris-versicolor","Iris-virginica"))</f>
        <v/>
      </c>
      <c r="Z108" t="inlineStr">
        <is>
          <t>Iris-virginica</t>
        </is>
      </c>
      <c r="AA108">
        <f>IF(Y108=Z108,"Sí","No")</f>
        <v/>
      </c>
      <c r="AB108" s="7" t="n">
        <v>4.351015263141934e-06</v>
      </c>
      <c r="AC108" s="7" t="n">
        <v>0.008129524029884211</v>
      </c>
      <c r="AD108" s="7" t="n">
        <v>0.9918661249548527</v>
      </c>
      <c r="AE108" t="inlineStr">
        <is>
          <t>Iris-virginica</t>
        </is>
      </c>
      <c r="AF108" s="9">
        <f>MAX(ABS(V108-AB108),ABS(W108-AC108),ABS(X108-AD108))</f>
        <v/>
      </c>
      <c r="AG108">
        <f>IF(AND(Y108=AE108,AF108&lt;1E-9),"Sí","No")</f>
        <v/>
      </c>
    </row>
    <row r="109">
      <c r="A109" t="n">
        <v>103</v>
      </c>
      <c r="B109" t="inlineStr">
        <is>
          <t>entrenamiento</t>
        </is>
      </c>
      <c r="C109" t="n">
        <v>7.1</v>
      </c>
      <c r="D109" t="n">
        <v>3</v>
      </c>
      <c r="E109" t="n">
        <v>5.9</v>
      </c>
      <c r="F109" t="n">
        <v>2.1</v>
      </c>
      <c r="G109" s="7">
        <f>(C109-'Pesos finales'!$B$31)/'Pesos finales'!$B$32</f>
        <v/>
      </c>
      <c r="H109" s="7">
        <f>(D109-'Pesos finales'!$C$31)/'Pesos finales'!$C$32</f>
        <v/>
      </c>
      <c r="I109" s="7">
        <f>(E109-'Pesos finales'!$D$31)/'Pesos finales'!$D$32</f>
        <v/>
      </c>
      <c r="J109" s="7">
        <f>(F109-'Pesos finales'!$E$31)/'Pesos finales'!$E$32</f>
        <v/>
      </c>
      <c r="K109" s="7">
        <f>TANH(G109*'Pesos finales'!$B$5+H109*'Pesos finales'!$B$6+I109*'Pesos finales'!$B$7+J109*'Pesos finales'!$B$8+'Pesos finales'!$B$12)</f>
        <v/>
      </c>
      <c r="L109" s="7">
        <f>TANH(G109*'Pesos finales'!$C$5+H109*'Pesos finales'!$C$6+I109*'Pesos finales'!$C$7+J109*'Pesos finales'!$C$8+'Pesos finales'!$C$12)</f>
        <v/>
      </c>
      <c r="M109" s="7">
        <f>TANH(G109*'Pesos finales'!$D$5+H109*'Pesos finales'!$D$6+I109*'Pesos finales'!$D$7+J109*'Pesos finales'!$D$8+'Pesos finales'!$D$12)</f>
        <v/>
      </c>
      <c r="N109" s="7">
        <f>TANH(G109*'Pesos finales'!$E$5+H109*'Pesos finales'!$E$6+I109*'Pesos finales'!$E$7+J109*'Pesos finales'!$E$8+'Pesos finales'!$E$12)</f>
        <v/>
      </c>
      <c r="O109" s="7">
        <f>TANH(G109*'Pesos finales'!$F$5+H109*'Pesos finales'!$F$6+I109*'Pesos finales'!$F$7+J109*'Pesos finales'!$F$8+'Pesos finales'!$F$12)</f>
        <v/>
      </c>
      <c r="P109" s="7">
        <f>TANH(G109*'Pesos finales'!$G$5+H109*'Pesos finales'!$G$6+I109*'Pesos finales'!$G$7+J109*'Pesos finales'!$G$8+'Pesos finales'!$G$12)</f>
        <v/>
      </c>
      <c r="Q109" s="7">
        <f>TANH(G109*'Pesos finales'!$H$5+H109*'Pesos finales'!$H$6+I109*'Pesos finales'!$H$7+J109*'Pesos finales'!$H$8+'Pesos finales'!$H$12)</f>
        <v/>
      </c>
      <c r="R109" s="7">
        <f>TANH(G109*'Pesos finales'!$I$5+H109*'Pesos finales'!$I$6+I109*'Pesos finales'!$I$7+J109*'Pesos finales'!$I$8+'Pesos finales'!$I$12)</f>
        <v/>
      </c>
      <c r="S109" s="7">
        <f>K109*'Pesos finales'!$B$16+L109*'Pesos finales'!$B$17+M109*'Pesos finales'!$B$18+N109*'Pesos finales'!$B$19+O109*'Pesos finales'!$B$20+P109*'Pesos finales'!$B$21+Q109*'Pesos finales'!$B$22+R109*'Pesos finales'!$B$23+'Pesos finales'!$B$27</f>
        <v/>
      </c>
      <c r="T109" s="7">
        <f>K109*'Pesos finales'!$C$16+L109*'Pesos finales'!$C$17+M109*'Pesos finales'!$C$18+N109*'Pesos finales'!$C$19+O109*'Pesos finales'!$C$20+P109*'Pesos finales'!$C$21+Q109*'Pesos finales'!$C$22+R109*'Pesos finales'!$C$23+'Pesos finales'!$C$27</f>
        <v/>
      </c>
      <c r="U109" s="7">
        <f>K109*'Pesos finales'!$D$16+L109*'Pesos finales'!$D$17+M109*'Pesos finales'!$D$18+N109*'Pesos finales'!$D$19+O109*'Pesos finales'!$D$20+P109*'Pesos finales'!$D$21+Q109*'Pesos finales'!$D$22+R109*'Pesos finales'!$D$23+'Pesos finales'!$D$27</f>
        <v/>
      </c>
      <c r="V109" s="7">
        <f>EXP(S109)/(EXP(S109)+EXP(T109)+EXP(U109))</f>
        <v/>
      </c>
      <c r="W109" s="7">
        <f>EXP(T109)/(EXP(S109)+EXP(T109)+EXP(U109))</f>
        <v/>
      </c>
      <c r="X109" s="7">
        <f>EXP(U109)/(EXP(S109)+EXP(T109)+EXP(U109))</f>
        <v/>
      </c>
      <c r="Y109">
        <f>IF(AND(V109&gt;=W109,V109&gt;=X109),"Iris-setosa",IF(AND(W109&gt;=X109),"Iris-versicolor","Iris-virginica"))</f>
        <v/>
      </c>
      <c r="Z109" t="inlineStr">
        <is>
          <t>Iris-virginica</t>
        </is>
      </c>
      <c r="AA109">
        <f>IF(Y109=Z109,"Sí","No")</f>
        <v/>
      </c>
      <c r="AB109" s="7" t="n">
        <v>5.99628309193641e-07</v>
      </c>
      <c r="AC109" s="7" t="n">
        <v>0.001527791104446011</v>
      </c>
      <c r="AD109" s="7" t="n">
        <v>0.9984716092672449</v>
      </c>
      <c r="AE109" t="inlineStr">
        <is>
          <t>Iris-virginica</t>
        </is>
      </c>
      <c r="AF109" s="9">
        <f>MAX(ABS(V109-AB109),ABS(W109-AC109),ABS(X109-AD109))</f>
        <v/>
      </c>
      <c r="AG109">
        <f>IF(AND(Y109=AE109,AF109&lt;1E-9),"Sí","No")</f>
        <v/>
      </c>
    </row>
    <row r="110">
      <c r="A110" t="n">
        <v>104</v>
      </c>
      <c r="B110" t="inlineStr">
        <is>
          <t>entrenamiento</t>
        </is>
      </c>
      <c r="C110" t="n">
        <v>6.3</v>
      </c>
      <c r="D110" t="n">
        <v>2.9</v>
      </c>
      <c r="E110" t="n">
        <v>5.6</v>
      </c>
      <c r="F110" t="n">
        <v>1.8</v>
      </c>
      <c r="G110" s="7">
        <f>(C110-'Pesos finales'!$B$31)/'Pesos finales'!$B$32</f>
        <v/>
      </c>
      <c r="H110" s="7">
        <f>(D110-'Pesos finales'!$C$31)/'Pesos finales'!$C$32</f>
        <v/>
      </c>
      <c r="I110" s="7">
        <f>(E110-'Pesos finales'!$D$31)/'Pesos finales'!$D$32</f>
        <v/>
      </c>
      <c r="J110" s="7">
        <f>(F110-'Pesos finales'!$E$31)/'Pesos finales'!$E$32</f>
        <v/>
      </c>
      <c r="K110" s="7">
        <f>TANH(G110*'Pesos finales'!$B$5+H110*'Pesos finales'!$B$6+I110*'Pesos finales'!$B$7+J110*'Pesos finales'!$B$8+'Pesos finales'!$B$12)</f>
        <v/>
      </c>
      <c r="L110" s="7">
        <f>TANH(G110*'Pesos finales'!$C$5+H110*'Pesos finales'!$C$6+I110*'Pesos finales'!$C$7+J110*'Pesos finales'!$C$8+'Pesos finales'!$C$12)</f>
        <v/>
      </c>
      <c r="M110" s="7">
        <f>TANH(G110*'Pesos finales'!$D$5+H110*'Pesos finales'!$D$6+I110*'Pesos finales'!$D$7+J110*'Pesos finales'!$D$8+'Pesos finales'!$D$12)</f>
        <v/>
      </c>
      <c r="N110" s="7">
        <f>TANH(G110*'Pesos finales'!$E$5+H110*'Pesos finales'!$E$6+I110*'Pesos finales'!$E$7+J110*'Pesos finales'!$E$8+'Pesos finales'!$E$12)</f>
        <v/>
      </c>
      <c r="O110" s="7">
        <f>TANH(G110*'Pesos finales'!$F$5+H110*'Pesos finales'!$F$6+I110*'Pesos finales'!$F$7+J110*'Pesos finales'!$F$8+'Pesos finales'!$F$12)</f>
        <v/>
      </c>
      <c r="P110" s="7">
        <f>TANH(G110*'Pesos finales'!$G$5+H110*'Pesos finales'!$G$6+I110*'Pesos finales'!$G$7+J110*'Pesos finales'!$G$8+'Pesos finales'!$G$12)</f>
        <v/>
      </c>
      <c r="Q110" s="7">
        <f>TANH(G110*'Pesos finales'!$H$5+H110*'Pesos finales'!$H$6+I110*'Pesos finales'!$H$7+J110*'Pesos finales'!$H$8+'Pesos finales'!$H$12)</f>
        <v/>
      </c>
      <c r="R110" s="7">
        <f>TANH(G110*'Pesos finales'!$I$5+H110*'Pesos finales'!$I$6+I110*'Pesos finales'!$I$7+J110*'Pesos finales'!$I$8+'Pesos finales'!$I$12)</f>
        <v/>
      </c>
      <c r="S110" s="7">
        <f>K110*'Pesos finales'!$B$16+L110*'Pesos finales'!$B$17+M110*'Pesos finales'!$B$18+N110*'Pesos finales'!$B$19+O110*'Pesos finales'!$B$20+P110*'Pesos finales'!$B$21+Q110*'Pesos finales'!$B$22+R110*'Pesos finales'!$B$23+'Pesos finales'!$B$27</f>
        <v/>
      </c>
      <c r="T110" s="7">
        <f>K110*'Pesos finales'!$C$16+L110*'Pesos finales'!$C$17+M110*'Pesos finales'!$C$18+N110*'Pesos finales'!$C$19+O110*'Pesos finales'!$C$20+P110*'Pesos finales'!$C$21+Q110*'Pesos finales'!$C$22+R110*'Pesos finales'!$C$23+'Pesos finales'!$C$27</f>
        <v/>
      </c>
      <c r="U110" s="7">
        <f>K110*'Pesos finales'!$D$16+L110*'Pesos finales'!$D$17+M110*'Pesos finales'!$D$18+N110*'Pesos finales'!$D$19+O110*'Pesos finales'!$D$20+P110*'Pesos finales'!$D$21+Q110*'Pesos finales'!$D$22+R110*'Pesos finales'!$D$23+'Pesos finales'!$D$27</f>
        <v/>
      </c>
      <c r="V110" s="7">
        <f>EXP(S110)/(EXP(S110)+EXP(T110)+EXP(U110))</f>
        <v/>
      </c>
      <c r="W110" s="7">
        <f>EXP(T110)/(EXP(S110)+EXP(T110)+EXP(U110))</f>
        <v/>
      </c>
      <c r="X110" s="7">
        <f>EXP(U110)/(EXP(S110)+EXP(T110)+EXP(U110))</f>
        <v/>
      </c>
      <c r="Y110">
        <f>IF(AND(V110&gt;=W110,V110&gt;=X110),"Iris-setosa",IF(AND(W110&gt;=X110),"Iris-versicolor","Iris-virginica"))</f>
        <v/>
      </c>
      <c r="Z110" t="inlineStr">
        <is>
          <t>Iris-virginica</t>
        </is>
      </c>
      <c r="AA110">
        <f>IF(Y110=Z110,"Sí","No")</f>
        <v/>
      </c>
      <c r="AB110" s="7" t="n">
        <v>4.895981836393536e-06</v>
      </c>
      <c r="AC110" s="7" t="n">
        <v>0.009666214562666156</v>
      </c>
      <c r="AD110" s="7" t="n">
        <v>0.9903288894554976</v>
      </c>
      <c r="AE110" t="inlineStr">
        <is>
          <t>Iris-virginica</t>
        </is>
      </c>
      <c r="AF110" s="9">
        <f>MAX(ABS(V110-AB110),ABS(W110-AC110),ABS(X110-AD110))</f>
        <v/>
      </c>
      <c r="AG110">
        <f>IF(AND(Y110=AE110,AF110&lt;1E-9),"Sí","No")</f>
        <v/>
      </c>
    </row>
    <row r="111">
      <c r="A111" t="n">
        <v>105</v>
      </c>
      <c r="B111" t="inlineStr">
        <is>
          <t>entrenamiento</t>
        </is>
      </c>
      <c r="C111" t="n">
        <v>6.5</v>
      </c>
      <c r="D111" t="n">
        <v>3</v>
      </c>
      <c r="E111" t="n">
        <v>5.8</v>
      </c>
      <c r="F111" t="n">
        <v>2.2</v>
      </c>
      <c r="G111" s="7">
        <f>(C111-'Pesos finales'!$B$31)/'Pesos finales'!$B$32</f>
        <v/>
      </c>
      <c r="H111" s="7">
        <f>(D111-'Pesos finales'!$C$31)/'Pesos finales'!$C$32</f>
        <v/>
      </c>
      <c r="I111" s="7">
        <f>(E111-'Pesos finales'!$D$31)/'Pesos finales'!$D$32</f>
        <v/>
      </c>
      <c r="J111" s="7">
        <f>(F111-'Pesos finales'!$E$31)/'Pesos finales'!$E$32</f>
        <v/>
      </c>
      <c r="K111" s="7">
        <f>TANH(G111*'Pesos finales'!$B$5+H111*'Pesos finales'!$B$6+I111*'Pesos finales'!$B$7+J111*'Pesos finales'!$B$8+'Pesos finales'!$B$12)</f>
        <v/>
      </c>
      <c r="L111" s="7">
        <f>TANH(G111*'Pesos finales'!$C$5+H111*'Pesos finales'!$C$6+I111*'Pesos finales'!$C$7+J111*'Pesos finales'!$C$8+'Pesos finales'!$C$12)</f>
        <v/>
      </c>
      <c r="M111" s="7">
        <f>TANH(G111*'Pesos finales'!$D$5+H111*'Pesos finales'!$D$6+I111*'Pesos finales'!$D$7+J111*'Pesos finales'!$D$8+'Pesos finales'!$D$12)</f>
        <v/>
      </c>
      <c r="N111" s="7">
        <f>TANH(G111*'Pesos finales'!$E$5+H111*'Pesos finales'!$E$6+I111*'Pesos finales'!$E$7+J111*'Pesos finales'!$E$8+'Pesos finales'!$E$12)</f>
        <v/>
      </c>
      <c r="O111" s="7">
        <f>TANH(G111*'Pesos finales'!$F$5+H111*'Pesos finales'!$F$6+I111*'Pesos finales'!$F$7+J111*'Pesos finales'!$F$8+'Pesos finales'!$F$12)</f>
        <v/>
      </c>
      <c r="P111" s="7">
        <f>TANH(G111*'Pesos finales'!$G$5+H111*'Pesos finales'!$G$6+I111*'Pesos finales'!$G$7+J111*'Pesos finales'!$G$8+'Pesos finales'!$G$12)</f>
        <v/>
      </c>
      <c r="Q111" s="7">
        <f>TANH(G111*'Pesos finales'!$H$5+H111*'Pesos finales'!$H$6+I111*'Pesos finales'!$H$7+J111*'Pesos finales'!$H$8+'Pesos finales'!$H$12)</f>
        <v/>
      </c>
      <c r="R111" s="7">
        <f>TANH(G111*'Pesos finales'!$I$5+H111*'Pesos finales'!$I$6+I111*'Pesos finales'!$I$7+J111*'Pesos finales'!$I$8+'Pesos finales'!$I$12)</f>
        <v/>
      </c>
      <c r="S111" s="7">
        <f>K111*'Pesos finales'!$B$16+L111*'Pesos finales'!$B$17+M111*'Pesos finales'!$B$18+N111*'Pesos finales'!$B$19+O111*'Pesos finales'!$B$20+P111*'Pesos finales'!$B$21+Q111*'Pesos finales'!$B$22+R111*'Pesos finales'!$B$23+'Pesos finales'!$B$27</f>
        <v/>
      </c>
      <c r="T111" s="7">
        <f>K111*'Pesos finales'!$C$16+L111*'Pesos finales'!$C$17+M111*'Pesos finales'!$C$18+N111*'Pesos finales'!$C$19+O111*'Pesos finales'!$C$20+P111*'Pesos finales'!$C$21+Q111*'Pesos finales'!$C$22+R111*'Pesos finales'!$C$23+'Pesos finales'!$C$27</f>
        <v/>
      </c>
      <c r="U111" s="7">
        <f>K111*'Pesos finales'!$D$16+L111*'Pesos finales'!$D$17+M111*'Pesos finales'!$D$18+N111*'Pesos finales'!$D$19+O111*'Pesos finales'!$D$20+P111*'Pesos finales'!$D$21+Q111*'Pesos finales'!$D$22+R111*'Pesos finales'!$D$23+'Pesos finales'!$D$27</f>
        <v/>
      </c>
      <c r="V111" s="7">
        <f>EXP(S111)/(EXP(S111)+EXP(T111)+EXP(U111))</f>
        <v/>
      </c>
      <c r="W111" s="7">
        <f>EXP(T111)/(EXP(S111)+EXP(T111)+EXP(U111))</f>
        <v/>
      </c>
      <c r="X111" s="7">
        <f>EXP(U111)/(EXP(S111)+EXP(T111)+EXP(U111))</f>
        <v/>
      </c>
      <c r="Y111">
        <f>IF(AND(V111&gt;=W111,V111&gt;=X111),"Iris-setosa",IF(AND(W111&gt;=X111),"Iris-versicolor","Iris-virginica"))</f>
        <v/>
      </c>
      <c r="Z111" t="inlineStr">
        <is>
          <t>Iris-virginica</t>
        </is>
      </c>
      <c r="AA111">
        <f>IF(Y111=Z111,"Sí","No")</f>
        <v/>
      </c>
      <c r="AB111" s="7" t="n">
        <v>3.739920836314615e-07</v>
      </c>
      <c r="AC111" s="7" t="n">
        <v>0.000805019403813725</v>
      </c>
      <c r="AD111" s="7" t="n">
        <v>0.9991946066041028</v>
      </c>
      <c r="AE111" t="inlineStr">
        <is>
          <t>Iris-virginica</t>
        </is>
      </c>
      <c r="AF111" s="9">
        <f>MAX(ABS(V111-AB111),ABS(W111-AC111),ABS(X111-AD111))</f>
        <v/>
      </c>
      <c r="AG111">
        <f>IF(AND(Y111=AE111,AF111&lt;1E-9),"Sí","No")</f>
        <v/>
      </c>
    </row>
    <row r="112">
      <c r="A112" t="n">
        <v>106</v>
      </c>
      <c r="B112" t="inlineStr">
        <is>
          <t>entrenamiento</t>
        </is>
      </c>
      <c r="C112" t="n">
        <v>7.6</v>
      </c>
      <c r="D112" t="n">
        <v>3</v>
      </c>
      <c r="E112" t="n">
        <v>6.6</v>
      </c>
      <c r="F112" t="n">
        <v>2.1</v>
      </c>
      <c r="G112" s="7">
        <f>(C112-'Pesos finales'!$B$31)/'Pesos finales'!$B$32</f>
        <v/>
      </c>
      <c r="H112" s="7">
        <f>(D112-'Pesos finales'!$C$31)/'Pesos finales'!$C$32</f>
        <v/>
      </c>
      <c r="I112" s="7">
        <f>(E112-'Pesos finales'!$D$31)/'Pesos finales'!$D$32</f>
        <v/>
      </c>
      <c r="J112" s="7">
        <f>(F112-'Pesos finales'!$E$31)/'Pesos finales'!$E$32</f>
        <v/>
      </c>
      <c r="K112" s="7">
        <f>TANH(G112*'Pesos finales'!$B$5+H112*'Pesos finales'!$B$6+I112*'Pesos finales'!$B$7+J112*'Pesos finales'!$B$8+'Pesos finales'!$B$12)</f>
        <v/>
      </c>
      <c r="L112" s="7">
        <f>TANH(G112*'Pesos finales'!$C$5+H112*'Pesos finales'!$C$6+I112*'Pesos finales'!$C$7+J112*'Pesos finales'!$C$8+'Pesos finales'!$C$12)</f>
        <v/>
      </c>
      <c r="M112" s="7">
        <f>TANH(G112*'Pesos finales'!$D$5+H112*'Pesos finales'!$D$6+I112*'Pesos finales'!$D$7+J112*'Pesos finales'!$D$8+'Pesos finales'!$D$12)</f>
        <v/>
      </c>
      <c r="N112" s="7">
        <f>TANH(G112*'Pesos finales'!$E$5+H112*'Pesos finales'!$E$6+I112*'Pesos finales'!$E$7+J112*'Pesos finales'!$E$8+'Pesos finales'!$E$12)</f>
        <v/>
      </c>
      <c r="O112" s="7">
        <f>TANH(G112*'Pesos finales'!$F$5+H112*'Pesos finales'!$F$6+I112*'Pesos finales'!$F$7+J112*'Pesos finales'!$F$8+'Pesos finales'!$F$12)</f>
        <v/>
      </c>
      <c r="P112" s="7">
        <f>TANH(G112*'Pesos finales'!$G$5+H112*'Pesos finales'!$G$6+I112*'Pesos finales'!$G$7+J112*'Pesos finales'!$G$8+'Pesos finales'!$G$12)</f>
        <v/>
      </c>
      <c r="Q112" s="7">
        <f>TANH(G112*'Pesos finales'!$H$5+H112*'Pesos finales'!$H$6+I112*'Pesos finales'!$H$7+J112*'Pesos finales'!$H$8+'Pesos finales'!$H$12)</f>
        <v/>
      </c>
      <c r="R112" s="7">
        <f>TANH(G112*'Pesos finales'!$I$5+H112*'Pesos finales'!$I$6+I112*'Pesos finales'!$I$7+J112*'Pesos finales'!$I$8+'Pesos finales'!$I$12)</f>
        <v/>
      </c>
      <c r="S112" s="7">
        <f>K112*'Pesos finales'!$B$16+L112*'Pesos finales'!$B$17+M112*'Pesos finales'!$B$18+N112*'Pesos finales'!$B$19+O112*'Pesos finales'!$B$20+P112*'Pesos finales'!$B$21+Q112*'Pesos finales'!$B$22+R112*'Pesos finales'!$B$23+'Pesos finales'!$B$27</f>
        <v/>
      </c>
      <c r="T112" s="7">
        <f>K112*'Pesos finales'!$C$16+L112*'Pesos finales'!$C$17+M112*'Pesos finales'!$C$18+N112*'Pesos finales'!$C$19+O112*'Pesos finales'!$C$20+P112*'Pesos finales'!$C$21+Q112*'Pesos finales'!$C$22+R112*'Pesos finales'!$C$23+'Pesos finales'!$C$27</f>
        <v/>
      </c>
      <c r="U112" s="7">
        <f>K112*'Pesos finales'!$D$16+L112*'Pesos finales'!$D$17+M112*'Pesos finales'!$D$18+N112*'Pesos finales'!$D$19+O112*'Pesos finales'!$D$20+P112*'Pesos finales'!$D$21+Q112*'Pesos finales'!$D$22+R112*'Pesos finales'!$D$23+'Pesos finales'!$D$27</f>
        <v/>
      </c>
      <c r="V112" s="7">
        <f>EXP(S112)/(EXP(S112)+EXP(T112)+EXP(U112))</f>
        <v/>
      </c>
      <c r="W112" s="7">
        <f>EXP(T112)/(EXP(S112)+EXP(T112)+EXP(U112))</f>
        <v/>
      </c>
      <c r="X112" s="7">
        <f>EXP(U112)/(EXP(S112)+EXP(T112)+EXP(U112))</f>
        <v/>
      </c>
      <c r="Y112">
        <f>IF(AND(V112&gt;=W112,V112&gt;=X112),"Iris-setosa",IF(AND(W112&gt;=X112),"Iris-versicolor","Iris-virginica"))</f>
        <v/>
      </c>
      <c r="Z112" t="inlineStr">
        <is>
          <t>Iris-virginica</t>
        </is>
      </c>
      <c r="AA112">
        <f>IF(Y112=Z112,"Sí","No")</f>
        <v/>
      </c>
      <c r="AB112" s="7" t="n">
        <v>2.918542863816728e-07</v>
      </c>
      <c r="AC112" s="7" t="n">
        <v>0.0007902600296108744</v>
      </c>
      <c r="AD112" s="7" t="n">
        <v>0.9992094481161027</v>
      </c>
      <c r="AE112" t="inlineStr">
        <is>
          <t>Iris-virginica</t>
        </is>
      </c>
      <c r="AF112" s="9">
        <f>MAX(ABS(V112-AB112),ABS(W112-AC112),ABS(X112-AD112))</f>
        <v/>
      </c>
      <c r="AG112">
        <f>IF(AND(Y112=AE112,AF112&lt;1E-9),"Sí","No")</f>
        <v/>
      </c>
    </row>
    <row r="113">
      <c r="A113" t="n">
        <v>107</v>
      </c>
      <c r="B113" t="inlineStr">
        <is>
          <t>prueba</t>
        </is>
      </c>
      <c r="C113" t="n">
        <v>4.9</v>
      </c>
      <c r="D113" t="n">
        <v>2.5</v>
      </c>
      <c r="E113" t="n">
        <v>4.5</v>
      </c>
      <c r="F113" t="n">
        <v>1.7</v>
      </c>
      <c r="G113" s="7">
        <f>(C113-'Pesos finales'!$B$31)/'Pesos finales'!$B$32</f>
        <v/>
      </c>
      <c r="H113" s="7">
        <f>(D113-'Pesos finales'!$C$31)/'Pesos finales'!$C$32</f>
        <v/>
      </c>
      <c r="I113" s="7">
        <f>(E113-'Pesos finales'!$D$31)/'Pesos finales'!$D$32</f>
        <v/>
      </c>
      <c r="J113" s="7">
        <f>(F113-'Pesos finales'!$E$31)/'Pesos finales'!$E$32</f>
        <v/>
      </c>
      <c r="K113" s="7">
        <f>TANH(G113*'Pesos finales'!$B$5+H113*'Pesos finales'!$B$6+I113*'Pesos finales'!$B$7+J113*'Pesos finales'!$B$8+'Pesos finales'!$B$12)</f>
        <v/>
      </c>
      <c r="L113" s="7">
        <f>TANH(G113*'Pesos finales'!$C$5+H113*'Pesos finales'!$C$6+I113*'Pesos finales'!$C$7+J113*'Pesos finales'!$C$8+'Pesos finales'!$C$12)</f>
        <v/>
      </c>
      <c r="M113" s="7">
        <f>TANH(G113*'Pesos finales'!$D$5+H113*'Pesos finales'!$D$6+I113*'Pesos finales'!$D$7+J113*'Pesos finales'!$D$8+'Pesos finales'!$D$12)</f>
        <v/>
      </c>
      <c r="N113" s="7">
        <f>TANH(G113*'Pesos finales'!$E$5+H113*'Pesos finales'!$E$6+I113*'Pesos finales'!$E$7+J113*'Pesos finales'!$E$8+'Pesos finales'!$E$12)</f>
        <v/>
      </c>
      <c r="O113" s="7">
        <f>TANH(G113*'Pesos finales'!$F$5+H113*'Pesos finales'!$F$6+I113*'Pesos finales'!$F$7+J113*'Pesos finales'!$F$8+'Pesos finales'!$F$12)</f>
        <v/>
      </c>
      <c r="P113" s="7">
        <f>TANH(G113*'Pesos finales'!$G$5+H113*'Pesos finales'!$G$6+I113*'Pesos finales'!$G$7+J113*'Pesos finales'!$G$8+'Pesos finales'!$G$12)</f>
        <v/>
      </c>
      <c r="Q113" s="7">
        <f>TANH(G113*'Pesos finales'!$H$5+H113*'Pesos finales'!$H$6+I113*'Pesos finales'!$H$7+J113*'Pesos finales'!$H$8+'Pesos finales'!$H$12)</f>
        <v/>
      </c>
      <c r="R113" s="7">
        <f>TANH(G113*'Pesos finales'!$I$5+H113*'Pesos finales'!$I$6+I113*'Pesos finales'!$I$7+J113*'Pesos finales'!$I$8+'Pesos finales'!$I$12)</f>
        <v/>
      </c>
      <c r="S113" s="7">
        <f>K113*'Pesos finales'!$B$16+L113*'Pesos finales'!$B$17+M113*'Pesos finales'!$B$18+N113*'Pesos finales'!$B$19+O113*'Pesos finales'!$B$20+P113*'Pesos finales'!$B$21+Q113*'Pesos finales'!$B$22+R113*'Pesos finales'!$B$23+'Pesos finales'!$B$27</f>
        <v/>
      </c>
      <c r="T113" s="7">
        <f>K113*'Pesos finales'!$C$16+L113*'Pesos finales'!$C$17+M113*'Pesos finales'!$C$18+N113*'Pesos finales'!$C$19+O113*'Pesos finales'!$C$20+P113*'Pesos finales'!$C$21+Q113*'Pesos finales'!$C$22+R113*'Pesos finales'!$C$23+'Pesos finales'!$C$27</f>
        <v/>
      </c>
      <c r="U113" s="7">
        <f>K113*'Pesos finales'!$D$16+L113*'Pesos finales'!$D$17+M113*'Pesos finales'!$D$18+N113*'Pesos finales'!$D$19+O113*'Pesos finales'!$D$20+P113*'Pesos finales'!$D$21+Q113*'Pesos finales'!$D$22+R113*'Pesos finales'!$D$23+'Pesos finales'!$D$27</f>
        <v/>
      </c>
      <c r="V113" s="7">
        <f>EXP(S113)/(EXP(S113)+EXP(T113)+EXP(U113))</f>
        <v/>
      </c>
      <c r="W113" s="7">
        <f>EXP(T113)/(EXP(S113)+EXP(T113)+EXP(U113))</f>
        <v/>
      </c>
      <c r="X113" s="7">
        <f>EXP(U113)/(EXP(S113)+EXP(T113)+EXP(U113))</f>
        <v/>
      </c>
      <c r="Y113">
        <f>IF(AND(V113&gt;=W113,V113&gt;=X113),"Iris-setosa",IF(AND(W113&gt;=X113),"Iris-versicolor","Iris-virginica"))</f>
        <v/>
      </c>
      <c r="Z113" t="inlineStr">
        <is>
          <t>Iris-virginica</t>
        </is>
      </c>
      <c r="AA113">
        <f>IF(Y113=Z113,"Sí","No")</f>
        <v/>
      </c>
      <c r="AB113" s="7" t="n">
        <v>0.0001714526099321665</v>
      </c>
      <c r="AC113" s="7" t="n">
        <v>0.168512638238841</v>
      </c>
      <c r="AD113" s="7" t="n">
        <v>0.8313159091512269</v>
      </c>
      <c r="AE113" t="inlineStr">
        <is>
          <t>Iris-virginica</t>
        </is>
      </c>
      <c r="AF113" s="9">
        <f>MAX(ABS(V113-AB113),ABS(W113-AC113),ABS(X113-AD113))</f>
        <v/>
      </c>
      <c r="AG113">
        <f>IF(AND(Y113=AE113,AF113&lt;1E-9),"Sí","No")</f>
        <v/>
      </c>
    </row>
    <row r="114">
      <c r="A114" t="n">
        <v>108</v>
      </c>
      <c r="B114" t="inlineStr">
        <is>
          <t>prueba</t>
        </is>
      </c>
      <c r="C114" t="n">
        <v>7.3</v>
      </c>
      <c r="D114" t="n">
        <v>2.9</v>
      </c>
      <c r="E114" t="n">
        <v>6.3</v>
      </c>
      <c r="F114" t="n">
        <v>1.8</v>
      </c>
      <c r="G114" s="7">
        <f>(C114-'Pesos finales'!$B$31)/'Pesos finales'!$B$32</f>
        <v/>
      </c>
      <c r="H114" s="7">
        <f>(D114-'Pesos finales'!$C$31)/'Pesos finales'!$C$32</f>
        <v/>
      </c>
      <c r="I114" s="7">
        <f>(E114-'Pesos finales'!$D$31)/'Pesos finales'!$D$32</f>
        <v/>
      </c>
      <c r="J114" s="7">
        <f>(F114-'Pesos finales'!$E$31)/'Pesos finales'!$E$32</f>
        <v/>
      </c>
      <c r="K114" s="7">
        <f>TANH(G114*'Pesos finales'!$B$5+H114*'Pesos finales'!$B$6+I114*'Pesos finales'!$B$7+J114*'Pesos finales'!$B$8+'Pesos finales'!$B$12)</f>
        <v/>
      </c>
      <c r="L114" s="7">
        <f>TANH(G114*'Pesos finales'!$C$5+H114*'Pesos finales'!$C$6+I114*'Pesos finales'!$C$7+J114*'Pesos finales'!$C$8+'Pesos finales'!$C$12)</f>
        <v/>
      </c>
      <c r="M114" s="7">
        <f>TANH(G114*'Pesos finales'!$D$5+H114*'Pesos finales'!$D$6+I114*'Pesos finales'!$D$7+J114*'Pesos finales'!$D$8+'Pesos finales'!$D$12)</f>
        <v/>
      </c>
      <c r="N114" s="7">
        <f>TANH(G114*'Pesos finales'!$E$5+H114*'Pesos finales'!$E$6+I114*'Pesos finales'!$E$7+J114*'Pesos finales'!$E$8+'Pesos finales'!$E$12)</f>
        <v/>
      </c>
      <c r="O114" s="7">
        <f>TANH(G114*'Pesos finales'!$F$5+H114*'Pesos finales'!$F$6+I114*'Pesos finales'!$F$7+J114*'Pesos finales'!$F$8+'Pesos finales'!$F$12)</f>
        <v/>
      </c>
      <c r="P114" s="7">
        <f>TANH(G114*'Pesos finales'!$G$5+H114*'Pesos finales'!$G$6+I114*'Pesos finales'!$G$7+J114*'Pesos finales'!$G$8+'Pesos finales'!$G$12)</f>
        <v/>
      </c>
      <c r="Q114" s="7">
        <f>TANH(G114*'Pesos finales'!$H$5+H114*'Pesos finales'!$H$6+I114*'Pesos finales'!$H$7+J114*'Pesos finales'!$H$8+'Pesos finales'!$H$12)</f>
        <v/>
      </c>
      <c r="R114" s="7">
        <f>TANH(G114*'Pesos finales'!$I$5+H114*'Pesos finales'!$I$6+I114*'Pesos finales'!$I$7+J114*'Pesos finales'!$I$8+'Pesos finales'!$I$12)</f>
        <v/>
      </c>
      <c r="S114" s="7">
        <f>K114*'Pesos finales'!$B$16+L114*'Pesos finales'!$B$17+M114*'Pesos finales'!$B$18+N114*'Pesos finales'!$B$19+O114*'Pesos finales'!$B$20+P114*'Pesos finales'!$B$21+Q114*'Pesos finales'!$B$22+R114*'Pesos finales'!$B$23+'Pesos finales'!$B$27</f>
        <v/>
      </c>
      <c r="T114" s="7">
        <f>K114*'Pesos finales'!$C$16+L114*'Pesos finales'!$C$17+M114*'Pesos finales'!$C$18+N114*'Pesos finales'!$C$19+O114*'Pesos finales'!$C$20+P114*'Pesos finales'!$C$21+Q114*'Pesos finales'!$C$22+R114*'Pesos finales'!$C$23+'Pesos finales'!$C$27</f>
        <v/>
      </c>
      <c r="U114" s="7">
        <f>K114*'Pesos finales'!$D$16+L114*'Pesos finales'!$D$17+M114*'Pesos finales'!$D$18+N114*'Pesos finales'!$D$19+O114*'Pesos finales'!$D$20+P114*'Pesos finales'!$D$21+Q114*'Pesos finales'!$D$22+R114*'Pesos finales'!$D$23+'Pesos finales'!$D$27</f>
        <v/>
      </c>
      <c r="V114" s="7">
        <f>EXP(S114)/(EXP(S114)+EXP(T114)+EXP(U114))</f>
        <v/>
      </c>
      <c r="W114" s="7">
        <f>EXP(T114)/(EXP(S114)+EXP(T114)+EXP(U114))</f>
        <v/>
      </c>
      <c r="X114" s="7">
        <f>EXP(U114)/(EXP(S114)+EXP(T114)+EXP(U114))</f>
        <v/>
      </c>
      <c r="Y114">
        <f>IF(AND(V114&gt;=W114,V114&gt;=X114),"Iris-setosa",IF(AND(W114&gt;=X114),"Iris-versicolor","Iris-virginica"))</f>
        <v/>
      </c>
      <c r="Z114" t="inlineStr">
        <is>
          <t>Iris-virginica</t>
        </is>
      </c>
      <c r="AA114">
        <f>IF(Y114=Z114,"Sí","No")</f>
        <v/>
      </c>
      <c r="AB114" s="7" t="n">
        <v>1.449331224862187e-06</v>
      </c>
      <c r="AC114" s="7" t="n">
        <v>0.004146254313742803</v>
      </c>
      <c r="AD114" s="7" t="n">
        <v>0.9958522963550323</v>
      </c>
      <c r="AE114" t="inlineStr">
        <is>
          <t>Iris-virginica</t>
        </is>
      </c>
      <c r="AF114" s="9">
        <f>MAX(ABS(V114-AB114),ABS(W114-AC114),ABS(X114-AD114))</f>
        <v/>
      </c>
      <c r="AG114">
        <f>IF(AND(Y114=AE114,AF114&lt;1E-9),"Sí","No")</f>
        <v/>
      </c>
    </row>
    <row r="115">
      <c r="A115" t="n">
        <v>109</v>
      </c>
      <c r="B115" t="inlineStr">
        <is>
          <t>prueba</t>
        </is>
      </c>
      <c r="C115" t="n">
        <v>6.7</v>
      </c>
      <c r="D115" t="n">
        <v>2.5</v>
      </c>
      <c r="E115" t="n">
        <v>5.8</v>
      </c>
      <c r="F115" t="n">
        <v>1.8</v>
      </c>
      <c r="G115" s="7">
        <f>(C115-'Pesos finales'!$B$31)/'Pesos finales'!$B$32</f>
        <v/>
      </c>
      <c r="H115" s="7">
        <f>(D115-'Pesos finales'!$C$31)/'Pesos finales'!$C$32</f>
        <v/>
      </c>
      <c r="I115" s="7">
        <f>(E115-'Pesos finales'!$D$31)/'Pesos finales'!$D$32</f>
        <v/>
      </c>
      <c r="J115" s="7">
        <f>(F115-'Pesos finales'!$E$31)/'Pesos finales'!$E$32</f>
        <v/>
      </c>
      <c r="K115" s="7">
        <f>TANH(G115*'Pesos finales'!$B$5+H115*'Pesos finales'!$B$6+I115*'Pesos finales'!$B$7+J115*'Pesos finales'!$B$8+'Pesos finales'!$B$12)</f>
        <v/>
      </c>
      <c r="L115" s="7">
        <f>TANH(G115*'Pesos finales'!$C$5+H115*'Pesos finales'!$C$6+I115*'Pesos finales'!$C$7+J115*'Pesos finales'!$C$8+'Pesos finales'!$C$12)</f>
        <v/>
      </c>
      <c r="M115" s="7">
        <f>TANH(G115*'Pesos finales'!$D$5+H115*'Pesos finales'!$D$6+I115*'Pesos finales'!$D$7+J115*'Pesos finales'!$D$8+'Pesos finales'!$D$12)</f>
        <v/>
      </c>
      <c r="N115" s="7">
        <f>TANH(G115*'Pesos finales'!$E$5+H115*'Pesos finales'!$E$6+I115*'Pesos finales'!$E$7+J115*'Pesos finales'!$E$8+'Pesos finales'!$E$12)</f>
        <v/>
      </c>
      <c r="O115" s="7">
        <f>TANH(G115*'Pesos finales'!$F$5+H115*'Pesos finales'!$F$6+I115*'Pesos finales'!$F$7+J115*'Pesos finales'!$F$8+'Pesos finales'!$F$12)</f>
        <v/>
      </c>
      <c r="P115" s="7">
        <f>TANH(G115*'Pesos finales'!$G$5+H115*'Pesos finales'!$G$6+I115*'Pesos finales'!$G$7+J115*'Pesos finales'!$G$8+'Pesos finales'!$G$12)</f>
        <v/>
      </c>
      <c r="Q115" s="7">
        <f>TANH(G115*'Pesos finales'!$H$5+H115*'Pesos finales'!$H$6+I115*'Pesos finales'!$H$7+J115*'Pesos finales'!$H$8+'Pesos finales'!$H$12)</f>
        <v/>
      </c>
      <c r="R115" s="7">
        <f>TANH(G115*'Pesos finales'!$I$5+H115*'Pesos finales'!$I$6+I115*'Pesos finales'!$I$7+J115*'Pesos finales'!$I$8+'Pesos finales'!$I$12)</f>
        <v/>
      </c>
      <c r="S115" s="7">
        <f>K115*'Pesos finales'!$B$16+L115*'Pesos finales'!$B$17+M115*'Pesos finales'!$B$18+N115*'Pesos finales'!$B$19+O115*'Pesos finales'!$B$20+P115*'Pesos finales'!$B$21+Q115*'Pesos finales'!$B$22+R115*'Pesos finales'!$B$23+'Pesos finales'!$B$27</f>
        <v/>
      </c>
      <c r="T115" s="7">
        <f>K115*'Pesos finales'!$C$16+L115*'Pesos finales'!$C$17+M115*'Pesos finales'!$C$18+N115*'Pesos finales'!$C$19+O115*'Pesos finales'!$C$20+P115*'Pesos finales'!$C$21+Q115*'Pesos finales'!$C$22+R115*'Pesos finales'!$C$23+'Pesos finales'!$C$27</f>
        <v/>
      </c>
      <c r="U115" s="7">
        <f>K115*'Pesos finales'!$D$16+L115*'Pesos finales'!$D$17+M115*'Pesos finales'!$D$18+N115*'Pesos finales'!$D$19+O115*'Pesos finales'!$D$20+P115*'Pesos finales'!$D$21+Q115*'Pesos finales'!$D$22+R115*'Pesos finales'!$D$23+'Pesos finales'!$D$27</f>
        <v/>
      </c>
      <c r="V115" s="7">
        <f>EXP(S115)/(EXP(S115)+EXP(T115)+EXP(U115))</f>
        <v/>
      </c>
      <c r="W115" s="7">
        <f>EXP(T115)/(EXP(S115)+EXP(T115)+EXP(U115))</f>
        <v/>
      </c>
      <c r="X115" s="7">
        <f>EXP(U115)/(EXP(S115)+EXP(T115)+EXP(U115))</f>
        <v/>
      </c>
      <c r="Y115">
        <f>IF(AND(V115&gt;=W115,V115&gt;=X115),"Iris-setosa",IF(AND(W115&gt;=X115),"Iris-versicolor","Iris-virginica"))</f>
        <v/>
      </c>
      <c r="Z115" t="inlineStr">
        <is>
          <t>Iris-virginica</t>
        </is>
      </c>
      <c r="AA115">
        <f>IF(Y115=Z115,"Sí","No")</f>
        <v/>
      </c>
      <c r="AB115" s="7" t="n">
        <v>1.223126270726315e-06</v>
      </c>
      <c r="AC115" s="7" t="n">
        <v>0.003657298605352511</v>
      </c>
      <c r="AD115" s="7" t="n">
        <v>0.9963414782683768</v>
      </c>
      <c r="AE115" t="inlineStr">
        <is>
          <t>Iris-virginica</t>
        </is>
      </c>
      <c r="AF115" s="9">
        <f>MAX(ABS(V115-AB115),ABS(W115-AC115),ABS(X115-AD115))</f>
        <v/>
      </c>
      <c r="AG115">
        <f>IF(AND(Y115=AE115,AF115&lt;1E-9),"Sí","No")</f>
        <v/>
      </c>
    </row>
    <row r="116">
      <c r="A116" t="n">
        <v>110</v>
      </c>
      <c r="B116" t="inlineStr">
        <is>
          <t>entrenamiento</t>
        </is>
      </c>
      <c r="C116" t="n">
        <v>7.2</v>
      </c>
      <c r="D116" t="n">
        <v>3.6</v>
      </c>
      <c r="E116" t="n">
        <v>6.1</v>
      </c>
      <c r="F116" t="n">
        <v>2.5</v>
      </c>
      <c r="G116" s="7">
        <f>(C116-'Pesos finales'!$B$31)/'Pesos finales'!$B$32</f>
        <v/>
      </c>
      <c r="H116" s="7">
        <f>(D116-'Pesos finales'!$C$31)/'Pesos finales'!$C$32</f>
        <v/>
      </c>
      <c r="I116" s="7">
        <f>(E116-'Pesos finales'!$D$31)/'Pesos finales'!$D$32</f>
        <v/>
      </c>
      <c r="J116" s="7">
        <f>(F116-'Pesos finales'!$E$31)/'Pesos finales'!$E$32</f>
        <v/>
      </c>
      <c r="K116" s="7">
        <f>TANH(G116*'Pesos finales'!$B$5+H116*'Pesos finales'!$B$6+I116*'Pesos finales'!$B$7+J116*'Pesos finales'!$B$8+'Pesos finales'!$B$12)</f>
        <v/>
      </c>
      <c r="L116" s="7">
        <f>TANH(G116*'Pesos finales'!$C$5+H116*'Pesos finales'!$C$6+I116*'Pesos finales'!$C$7+J116*'Pesos finales'!$C$8+'Pesos finales'!$C$12)</f>
        <v/>
      </c>
      <c r="M116" s="7">
        <f>TANH(G116*'Pesos finales'!$D$5+H116*'Pesos finales'!$D$6+I116*'Pesos finales'!$D$7+J116*'Pesos finales'!$D$8+'Pesos finales'!$D$12)</f>
        <v/>
      </c>
      <c r="N116" s="7">
        <f>TANH(G116*'Pesos finales'!$E$5+H116*'Pesos finales'!$E$6+I116*'Pesos finales'!$E$7+J116*'Pesos finales'!$E$8+'Pesos finales'!$E$12)</f>
        <v/>
      </c>
      <c r="O116" s="7">
        <f>TANH(G116*'Pesos finales'!$F$5+H116*'Pesos finales'!$F$6+I116*'Pesos finales'!$F$7+J116*'Pesos finales'!$F$8+'Pesos finales'!$F$12)</f>
        <v/>
      </c>
      <c r="P116" s="7">
        <f>TANH(G116*'Pesos finales'!$G$5+H116*'Pesos finales'!$G$6+I116*'Pesos finales'!$G$7+J116*'Pesos finales'!$G$8+'Pesos finales'!$G$12)</f>
        <v/>
      </c>
      <c r="Q116" s="7">
        <f>TANH(G116*'Pesos finales'!$H$5+H116*'Pesos finales'!$H$6+I116*'Pesos finales'!$H$7+J116*'Pesos finales'!$H$8+'Pesos finales'!$H$12)</f>
        <v/>
      </c>
      <c r="R116" s="7">
        <f>TANH(G116*'Pesos finales'!$I$5+H116*'Pesos finales'!$I$6+I116*'Pesos finales'!$I$7+J116*'Pesos finales'!$I$8+'Pesos finales'!$I$12)</f>
        <v/>
      </c>
      <c r="S116" s="7">
        <f>K116*'Pesos finales'!$B$16+L116*'Pesos finales'!$B$17+M116*'Pesos finales'!$B$18+N116*'Pesos finales'!$B$19+O116*'Pesos finales'!$B$20+P116*'Pesos finales'!$B$21+Q116*'Pesos finales'!$B$22+R116*'Pesos finales'!$B$23+'Pesos finales'!$B$27</f>
        <v/>
      </c>
      <c r="T116" s="7">
        <f>K116*'Pesos finales'!$C$16+L116*'Pesos finales'!$C$17+M116*'Pesos finales'!$C$18+N116*'Pesos finales'!$C$19+O116*'Pesos finales'!$C$20+P116*'Pesos finales'!$C$21+Q116*'Pesos finales'!$C$22+R116*'Pesos finales'!$C$23+'Pesos finales'!$C$27</f>
        <v/>
      </c>
      <c r="U116" s="7">
        <f>K116*'Pesos finales'!$D$16+L116*'Pesos finales'!$D$17+M116*'Pesos finales'!$D$18+N116*'Pesos finales'!$D$19+O116*'Pesos finales'!$D$20+P116*'Pesos finales'!$D$21+Q116*'Pesos finales'!$D$22+R116*'Pesos finales'!$D$23+'Pesos finales'!$D$27</f>
        <v/>
      </c>
      <c r="V116" s="7">
        <f>EXP(S116)/(EXP(S116)+EXP(T116)+EXP(U116))</f>
        <v/>
      </c>
      <c r="W116" s="7">
        <f>EXP(T116)/(EXP(S116)+EXP(T116)+EXP(U116))</f>
        <v/>
      </c>
      <c r="X116" s="7">
        <f>EXP(U116)/(EXP(S116)+EXP(T116)+EXP(U116))</f>
        <v/>
      </c>
      <c r="Y116">
        <f>IF(AND(V116&gt;=W116,V116&gt;=X116),"Iris-setosa",IF(AND(W116&gt;=X116),"Iris-versicolor","Iris-virginica"))</f>
        <v/>
      </c>
      <c r="Z116" t="inlineStr">
        <is>
          <t>Iris-virginica</t>
        </is>
      </c>
      <c r="AA116">
        <f>IF(Y116=Z116,"Sí","No")</f>
        <v/>
      </c>
      <c r="AB116" s="7" t="n">
        <v>2.74954403658912e-07</v>
      </c>
      <c r="AC116" s="7" t="n">
        <v>0.0005717006164522258</v>
      </c>
      <c r="AD116" s="7" t="n">
        <v>0.999428024429144</v>
      </c>
      <c r="AE116" t="inlineStr">
        <is>
          <t>Iris-virginica</t>
        </is>
      </c>
      <c r="AF116" s="9">
        <f>MAX(ABS(V116-AB116),ABS(W116-AC116),ABS(X116-AD116))</f>
        <v/>
      </c>
      <c r="AG116">
        <f>IF(AND(Y116=AE116,AF116&lt;1E-9),"Sí","No")</f>
        <v/>
      </c>
    </row>
    <row r="117">
      <c r="A117" t="n">
        <v>111</v>
      </c>
      <c r="B117" t="inlineStr">
        <is>
          <t>entrenamiento</t>
        </is>
      </c>
      <c r="C117" t="n">
        <v>6.5</v>
      </c>
      <c r="D117" t="n">
        <v>3.2</v>
      </c>
      <c r="E117" t="n">
        <v>5.1</v>
      </c>
      <c r="F117" t="n">
        <v>2</v>
      </c>
      <c r="G117" s="7">
        <f>(C117-'Pesos finales'!$B$31)/'Pesos finales'!$B$32</f>
        <v/>
      </c>
      <c r="H117" s="7">
        <f>(D117-'Pesos finales'!$C$31)/'Pesos finales'!$C$32</f>
        <v/>
      </c>
      <c r="I117" s="7">
        <f>(E117-'Pesos finales'!$D$31)/'Pesos finales'!$D$32</f>
        <v/>
      </c>
      <c r="J117" s="7">
        <f>(F117-'Pesos finales'!$E$31)/'Pesos finales'!$E$32</f>
        <v/>
      </c>
      <c r="K117" s="7">
        <f>TANH(G117*'Pesos finales'!$B$5+H117*'Pesos finales'!$B$6+I117*'Pesos finales'!$B$7+J117*'Pesos finales'!$B$8+'Pesos finales'!$B$12)</f>
        <v/>
      </c>
      <c r="L117" s="7">
        <f>TANH(G117*'Pesos finales'!$C$5+H117*'Pesos finales'!$C$6+I117*'Pesos finales'!$C$7+J117*'Pesos finales'!$C$8+'Pesos finales'!$C$12)</f>
        <v/>
      </c>
      <c r="M117" s="7">
        <f>TANH(G117*'Pesos finales'!$D$5+H117*'Pesos finales'!$D$6+I117*'Pesos finales'!$D$7+J117*'Pesos finales'!$D$8+'Pesos finales'!$D$12)</f>
        <v/>
      </c>
      <c r="N117" s="7">
        <f>TANH(G117*'Pesos finales'!$E$5+H117*'Pesos finales'!$E$6+I117*'Pesos finales'!$E$7+J117*'Pesos finales'!$E$8+'Pesos finales'!$E$12)</f>
        <v/>
      </c>
      <c r="O117" s="7">
        <f>TANH(G117*'Pesos finales'!$F$5+H117*'Pesos finales'!$F$6+I117*'Pesos finales'!$F$7+J117*'Pesos finales'!$F$8+'Pesos finales'!$F$12)</f>
        <v/>
      </c>
      <c r="P117" s="7">
        <f>TANH(G117*'Pesos finales'!$G$5+H117*'Pesos finales'!$G$6+I117*'Pesos finales'!$G$7+J117*'Pesos finales'!$G$8+'Pesos finales'!$G$12)</f>
        <v/>
      </c>
      <c r="Q117" s="7">
        <f>TANH(G117*'Pesos finales'!$H$5+H117*'Pesos finales'!$H$6+I117*'Pesos finales'!$H$7+J117*'Pesos finales'!$H$8+'Pesos finales'!$H$12)</f>
        <v/>
      </c>
      <c r="R117" s="7">
        <f>TANH(G117*'Pesos finales'!$I$5+H117*'Pesos finales'!$I$6+I117*'Pesos finales'!$I$7+J117*'Pesos finales'!$I$8+'Pesos finales'!$I$12)</f>
        <v/>
      </c>
      <c r="S117" s="7">
        <f>K117*'Pesos finales'!$B$16+L117*'Pesos finales'!$B$17+M117*'Pesos finales'!$B$18+N117*'Pesos finales'!$B$19+O117*'Pesos finales'!$B$20+P117*'Pesos finales'!$B$21+Q117*'Pesos finales'!$B$22+R117*'Pesos finales'!$B$23+'Pesos finales'!$B$27</f>
        <v/>
      </c>
      <c r="T117" s="7">
        <f>K117*'Pesos finales'!$C$16+L117*'Pesos finales'!$C$17+M117*'Pesos finales'!$C$18+N117*'Pesos finales'!$C$19+O117*'Pesos finales'!$C$20+P117*'Pesos finales'!$C$21+Q117*'Pesos finales'!$C$22+R117*'Pesos finales'!$C$23+'Pesos finales'!$C$27</f>
        <v/>
      </c>
      <c r="U117" s="7">
        <f>K117*'Pesos finales'!$D$16+L117*'Pesos finales'!$D$17+M117*'Pesos finales'!$D$18+N117*'Pesos finales'!$D$19+O117*'Pesos finales'!$D$20+P117*'Pesos finales'!$D$21+Q117*'Pesos finales'!$D$22+R117*'Pesos finales'!$D$23+'Pesos finales'!$D$27</f>
        <v/>
      </c>
      <c r="V117" s="7">
        <f>EXP(S117)/(EXP(S117)+EXP(T117)+EXP(U117))</f>
        <v/>
      </c>
      <c r="W117" s="7">
        <f>EXP(T117)/(EXP(S117)+EXP(T117)+EXP(U117))</f>
        <v/>
      </c>
      <c r="X117" s="7">
        <f>EXP(U117)/(EXP(S117)+EXP(T117)+EXP(U117))</f>
        <v/>
      </c>
      <c r="Y117">
        <f>IF(AND(V117&gt;=W117,V117&gt;=X117),"Iris-setosa",IF(AND(W117&gt;=X117),"Iris-versicolor","Iris-virginica"))</f>
        <v/>
      </c>
      <c r="Z117" t="inlineStr">
        <is>
          <t>Iris-virginica</t>
        </is>
      </c>
      <c r="AA117">
        <f>IF(Y117=Z117,"Sí","No")</f>
        <v/>
      </c>
      <c r="AB117" s="7" t="n">
        <v>2.1865150040895e-05</v>
      </c>
      <c r="AC117" s="7" t="n">
        <v>0.03996907717373697</v>
      </c>
      <c r="AD117" s="7" t="n">
        <v>0.9600090576762222</v>
      </c>
      <c r="AE117" t="inlineStr">
        <is>
          <t>Iris-virginica</t>
        </is>
      </c>
      <c r="AF117" s="9">
        <f>MAX(ABS(V117-AB117),ABS(W117-AC117),ABS(X117-AD117))</f>
        <v/>
      </c>
      <c r="AG117">
        <f>IF(AND(Y117=AE117,AF117&lt;1E-9),"Sí","No")</f>
        <v/>
      </c>
    </row>
    <row r="118">
      <c r="A118" t="n">
        <v>112</v>
      </c>
      <c r="B118" t="inlineStr">
        <is>
          <t>entrenamiento</t>
        </is>
      </c>
      <c r="C118" t="n">
        <v>6.4</v>
      </c>
      <c r="D118" t="n">
        <v>2.7</v>
      </c>
      <c r="E118" t="n">
        <v>5.3</v>
      </c>
      <c r="F118" t="n">
        <v>1.9</v>
      </c>
      <c r="G118" s="7">
        <f>(C118-'Pesos finales'!$B$31)/'Pesos finales'!$B$32</f>
        <v/>
      </c>
      <c r="H118" s="7">
        <f>(D118-'Pesos finales'!$C$31)/'Pesos finales'!$C$32</f>
        <v/>
      </c>
      <c r="I118" s="7">
        <f>(E118-'Pesos finales'!$D$31)/'Pesos finales'!$D$32</f>
        <v/>
      </c>
      <c r="J118" s="7">
        <f>(F118-'Pesos finales'!$E$31)/'Pesos finales'!$E$32</f>
        <v/>
      </c>
      <c r="K118" s="7">
        <f>TANH(G118*'Pesos finales'!$B$5+H118*'Pesos finales'!$B$6+I118*'Pesos finales'!$B$7+J118*'Pesos finales'!$B$8+'Pesos finales'!$B$12)</f>
        <v/>
      </c>
      <c r="L118" s="7">
        <f>TANH(G118*'Pesos finales'!$C$5+H118*'Pesos finales'!$C$6+I118*'Pesos finales'!$C$7+J118*'Pesos finales'!$C$8+'Pesos finales'!$C$12)</f>
        <v/>
      </c>
      <c r="M118" s="7">
        <f>TANH(G118*'Pesos finales'!$D$5+H118*'Pesos finales'!$D$6+I118*'Pesos finales'!$D$7+J118*'Pesos finales'!$D$8+'Pesos finales'!$D$12)</f>
        <v/>
      </c>
      <c r="N118" s="7">
        <f>TANH(G118*'Pesos finales'!$E$5+H118*'Pesos finales'!$E$6+I118*'Pesos finales'!$E$7+J118*'Pesos finales'!$E$8+'Pesos finales'!$E$12)</f>
        <v/>
      </c>
      <c r="O118" s="7">
        <f>TANH(G118*'Pesos finales'!$F$5+H118*'Pesos finales'!$F$6+I118*'Pesos finales'!$F$7+J118*'Pesos finales'!$F$8+'Pesos finales'!$F$12)</f>
        <v/>
      </c>
      <c r="P118" s="7">
        <f>TANH(G118*'Pesos finales'!$G$5+H118*'Pesos finales'!$G$6+I118*'Pesos finales'!$G$7+J118*'Pesos finales'!$G$8+'Pesos finales'!$G$12)</f>
        <v/>
      </c>
      <c r="Q118" s="7">
        <f>TANH(G118*'Pesos finales'!$H$5+H118*'Pesos finales'!$H$6+I118*'Pesos finales'!$H$7+J118*'Pesos finales'!$H$8+'Pesos finales'!$H$12)</f>
        <v/>
      </c>
      <c r="R118" s="7">
        <f>TANH(G118*'Pesos finales'!$I$5+H118*'Pesos finales'!$I$6+I118*'Pesos finales'!$I$7+J118*'Pesos finales'!$I$8+'Pesos finales'!$I$12)</f>
        <v/>
      </c>
      <c r="S118" s="7">
        <f>K118*'Pesos finales'!$B$16+L118*'Pesos finales'!$B$17+M118*'Pesos finales'!$B$18+N118*'Pesos finales'!$B$19+O118*'Pesos finales'!$B$20+P118*'Pesos finales'!$B$21+Q118*'Pesos finales'!$B$22+R118*'Pesos finales'!$B$23+'Pesos finales'!$B$27</f>
        <v/>
      </c>
      <c r="T118" s="7">
        <f>K118*'Pesos finales'!$C$16+L118*'Pesos finales'!$C$17+M118*'Pesos finales'!$C$18+N118*'Pesos finales'!$C$19+O118*'Pesos finales'!$C$20+P118*'Pesos finales'!$C$21+Q118*'Pesos finales'!$C$22+R118*'Pesos finales'!$C$23+'Pesos finales'!$C$27</f>
        <v/>
      </c>
      <c r="U118" s="7">
        <f>K118*'Pesos finales'!$D$16+L118*'Pesos finales'!$D$17+M118*'Pesos finales'!$D$18+N118*'Pesos finales'!$D$19+O118*'Pesos finales'!$D$20+P118*'Pesos finales'!$D$21+Q118*'Pesos finales'!$D$22+R118*'Pesos finales'!$D$23+'Pesos finales'!$D$27</f>
        <v/>
      </c>
      <c r="V118" s="7">
        <f>EXP(S118)/(EXP(S118)+EXP(T118)+EXP(U118))</f>
        <v/>
      </c>
      <c r="W118" s="7">
        <f>EXP(T118)/(EXP(S118)+EXP(T118)+EXP(U118))</f>
        <v/>
      </c>
      <c r="X118" s="7">
        <f>EXP(U118)/(EXP(S118)+EXP(T118)+EXP(U118))</f>
        <v/>
      </c>
      <c r="Y118">
        <f>IF(AND(V118&gt;=W118,V118&gt;=X118),"Iris-setosa",IF(AND(W118&gt;=X118),"Iris-versicolor","Iris-virginica"))</f>
        <v/>
      </c>
      <c r="Z118" t="inlineStr">
        <is>
          <t>Iris-virginica</t>
        </is>
      </c>
      <c r="AA118">
        <f>IF(Y118=Z118,"Sí","No")</f>
        <v/>
      </c>
      <c r="AB118" s="7" t="n">
        <v>2.797455879062282e-06</v>
      </c>
      <c r="AC118" s="7" t="n">
        <v>0.007108102789728531</v>
      </c>
      <c r="AD118" s="7" t="n">
        <v>0.9928890997543923</v>
      </c>
      <c r="AE118" t="inlineStr">
        <is>
          <t>Iris-virginica</t>
        </is>
      </c>
      <c r="AF118" s="9">
        <f>MAX(ABS(V118-AB118),ABS(W118-AC118),ABS(X118-AD118))</f>
        <v/>
      </c>
      <c r="AG118">
        <f>IF(AND(Y118=AE118,AF118&lt;1E-9),"Sí","No")</f>
        <v/>
      </c>
    </row>
    <row r="119">
      <c r="A119" t="n">
        <v>113</v>
      </c>
      <c r="B119" t="inlineStr">
        <is>
          <t>entrenamiento</t>
        </is>
      </c>
      <c r="C119" t="n">
        <v>6.8</v>
      </c>
      <c r="D119" t="n">
        <v>3</v>
      </c>
      <c r="E119" t="n">
        <v>5.5</v>
      </c>
      <c r="F119" t="n">
        <v>2.1</v>
      </c>
      <c r="G119" s="7">
        <f>(C119-'Pesos finales'!$B$31)/'Pesos finales'!$B$32</f>
        <v/>
      </c>
      <c r="H119" s="7">
        <f>(D119-'Pesos finales'!$C$31)/'Pesos finales'!$C$32</f>
        <v/>
      </c>
      <c r="I119" s="7">
        <f>(E119-'Pesos finales'!$D$31)/'Pesos finales'!$D$32</f>
        <v/>
      </c>
      <c r="J119" s="7">
        <f>(F119-'Pesos finales'!$E$31)/'Pesos finales'!$E$32</f>
        <v/>
      </c>
      <c r="K119" s="7">
        <f>TANH(G119*'Pesos finales'!$B$5+H119*'Pesos finales'!$B$6+I119*'Pesos finales'!$B$7+J119*'Pesos finales'!$B$8+'Pesos finales'!$B$12)</f>
        <v/>
      </c>
      <c r="L119" s="7">
        <f>TANH(G119*'Pesos finales'!$C$5+H119*'Pesos finales'!$C$6+I119*'Pesos finales'!$C$7+J119*'Pesos finales'!$C$8+'Pesos finales'!$C$12)</f>
        <v/>
      </c>
      <c r="M119" s="7">
        <f>TANH(G119*'Pesos finales'!$D$5+H119*'Pesos finales'!$D$6+I119*'Pesos finales'!$D$7+J119*'Pesos finales'!$D$8+'Pesos finales'!$D$12)</f>
        <v/>
      </c>
      <c r="N119" s="7">
        <f>TANH(G119*'Pesos finales'!$E$5+H119*'Pesos finales'!$E$6+I119*'Pesos finales'!$E$7+J119*'Pesos finales'!$E$8+'Pesos finales'!$E$12)</f>
        <v/>
      </c>
      <c r="O119" s="7">
        <f>TANH(G119*'Pesos finales'!$F$5+H119*'Pesos finales'!$F$6+I119*'Pesos finales'!$F$7+J119*'Pesos finales'!$F$8+'Pesos finales'!$F$12)</f>
        <v/>
      </c>
      <c r="P119" s="7">
        <f>TANH(G119*'Pesos finales'!$G$5+H119*'Pesos finales'!$G$6+I119*'Pesos finales'!$G$7+J119*'Pesos finales'!$G$8+'Pesos finales'!$G$12)</f>
        <v/>
      </c>
      <c r="Q119" s="7">
        <f>TANH(G119*'Pesos finales'!$H$5+H119*'Pesos finales'!$H$6+I119*'Pesos finales'!$H$7+J119*'Pesos finales'!$H$8+'Pesos finales'!$H$12)</f>
        <v/>
      </c>
      <c r="R119" s="7">
        <f>TANH(G119*'Pesos finales'!$I$5+H119*'Pesos finales'!$I$6+I119*'Pesos finales'!$I$7+J119*'Pesos finales'!$I$8+'Pesos finales'!$I$12)</f>
        <v/>
      </c>
      <c r="S119" s="7">
        <f>K119*'Pesos finales'!$B$16+L119*'Pesos finales'!$B$17+M119*'Pesos finales'!$B$18+N119*'Pesos finales'!$B$19+O119*'Pesos finales'!$B$20+P119*'Pesos finales'!$B$21+Q119*'Pesos finales'!$B$22+R119*'Pesos finales'!$B$23+'Pesos finales'!$B$27</f>
        <v/>
      </c>
      <c r="T119" s="7">
        <f>K119*'Pesos finales'!$C$16+L119*'Pesos finales'!$C$17+M119*'Pesos finales'!$C$18+N119*'Pesos finales'!$C$19+O119*'Pesos finales'!$C$20+P119*'Pesos finales'!$C$21+Q119*'Pesos finales'!$C$22+R119*'Pesos finales'!$C$23+'Pesos finales'!$C$27</f>
        <v/>
      </c>
      <c r="U119" s="7">
        <f>K119*'Pesos finales'!$D$16+L119*'Pesos finales'!$D$17+M119*'Pesos finales'!$D$18+N119*'Pesos finales'!$D$19+O119*'Pesos finales'!$D$20+P119*'Pesos finales'!$D$21+Q119*'Pesos finales'!$D$22+R119*'Pesos finales'!$D$23+'Pesos finales'!$D$27</f>
        <v/>
      </c>
      <c r="V119" s="7">
        <f>EXP(S119)/(EXP(S119)+EXP(T119)+EXP(U119))</f>
        <v/>
      </c>
      <c r="W119" s="7">
        <f>EXP(T119)/(EXP(S119)+EXP(T119)+EXP(U119))</f>
        <v/>
      </c>
      <c r="X119" s="7">
        <f>EXP(U119)/(EXP(S119)+EXP(T119)+EXP(U119))</f>
        <v/>
      </c>
      <c r="Y119">
        <f>IF(AND(V119&gt;=W119,V119&gt;=X119),"Iris-setosa",IF(AND(W119&gt;=X119),"Iris-versicolor","Iris-virginica"))</f>
        <v/>
      </c>
      <c r="Z119" t="inlineStr">
        <is>
          <t>Iris-virginica</t>
        </is>
      </c>
      <c r="AA119">
        <f>IF(Y119=Z119,"Sí","No")</f>
        <v/>
      </c>
      <c r="AB119" s="7" t="n">
        <v>1.185691566307725e-06</v>
      </c>
      <c r="AC119" s="7" t="n">
        <v>0.002859765693893306</v>
      </c>
      <c r="AD119" s="7" t="n">
        <v>0.9971390486145404</v>
      </c>
      <c r="AE119" t="inlineStr">
        <is>
          <t>Iris-virginica</t>
        </is>
      </c>
      <c r="AF119" s="9">
        <f>MAX(ABS(V119-AB119),ABS(W119-AC119),ABS(X119-AD119))</f>
        <v/>
      </c>
      <c r="AG119">
        <f>IF(AND(Y119=AE119,AF119&lt;1E-9),"Sí","No")</f>
        <v/>
      </c>
    </row>
    <row r="120">
      <c r="A120" t="n">
        <v>114</v>
      </c>
      <c r="B120" t="inlineStr">
        <is>
          <t>entrenamiento</t>
        </is>
      </c>
      <c r="C120" t="n">
        <v>5.7</v>
      </c>
      <c r="D120" t="n">
        <v>2.5</v>
      </c>
      <c r="E120" t="n">
        <v>5</v>
      </c>
      <c r="F120" t="n">
        <v>2</v>
      </c>
      <c r="G120" s="7">
        <f>(C120-'Pesos finales'!$B$31)/'Pesos finales'!$B$32</f>
        <v/>
      </c>
      <c r="H120" s="7">
        <f>(D120-'Pesos finales'!$C$31)/'Pesos finales'!$C$32</f>
        <v/>
      </c>
      <c r="I120" s="7">
        <f>(E120-'Pesos finales'!$D$31)/'Pesos finales'!$D$32</f>
        <v/>
      </c>
      <c r="J120" s="7">
        <f>(F120-'Pesos finales'!$E$31)/'Pesos finales'!$E$32</f>
        <v/>
      </c>
      <c r="K120" s="7">
        <f>TANH(G120*'Pesos finales'!$B$5+H120*'Pesos finales'!$B$6+I120*'Pesos finales'!$B$7+J120*'Pesos finales'!$B$8+'Pesos finales'!$B$12)</f>
        <v/>
      </c>
      <c r="L120" s="7">
        <f>TANH(G120*'Pesos finales'!$C$5+H120*'Pesos finales'!$C$6+I120*'Pesos finales'!$C$7+J120*'Pesos finales'!$C$8+'Pesos finales'!$C$12)</f>
        <v/>
      </c>
      <c r="M120" s="7">
        <f>TANH(G120*'Pesos finales'!$D$5+H120*'Pesos finales'!$D$6+I120*'Pesos finales'!$D$7+J120*'Pesos finales'!$D$8+'Pesos finales'!$D$12)</f>
        <v/>
      </c>
      <c r="N120" s="7">
        <f>TANH(G120*'Pesos finales'!$E$5+H120*'Pesos finales'!$E$6+I120*'Pesos finales'!$E$7+J120*'Pesos finales'!$E$8+'Pesos finales'!$E$12)</f>
        <v/>
      </c>
      <c r="O120" s="7">
        <f>TANH(G120*'Pesos finales'!$F$5+H120*'Pesos finales'!$F$6+I120*'Pesos finales'!$F$7+J120*'Pesos finales'!$F$8+'Pesos finales'!$F$12)</f>
        <v/>
      </c>
      <c r="P120" s="7">
        <f>TANH(G120*'Pesos finales'!$G$5+H120*'Pesos finales'!$G$6+I120*'Pesos finales'!$G$7+J120*'Pesos finales'!$G$8+'Pesos finales'!$G$12)</f>
        <v/>
      </c>
      <c r="Q120" s="7">
        <f>TANH(G120*'Pesos finales'!$H$5+H120*'Pesos finales'!$H$6+I120*'Pesos finales'!$H$7+J120*'Pesos finales'!$H$8+'Pesos finales'!$H$12)</f>
        <v/>
      </c>
      <c r="R120" s="7">
        <f>TANH(G120*'Pesos finales'!$I$5+H120*'Pesos finales'!$I$6+I120*'Pesos finales'!$I$7+J120*'Pesos finales'!$I$8+'Pesos finales'!$I$12)</f>
        <v/>
      </c>
      <c r="S120" s="7">
        <f>K120*'Pesos finales'!$B$16+L120*'Pesos finales'!$B$17+M120*'Pesos finales'!$B$18+N120*'Pesos finales'!$B$19+O120*'Pesos finales'!$B$20+P120*'Pesos finales'!$B$21+Q120*'Pesos finales'!$B$22+R120*'Pesos finales'!$B$23+'Pesos finales'!$B$27</f>
        <v/>
      </c>
      <c r="T120" s="7">
        <f>K120*'Pesos finales'!$C$16+L120*'Pesos finales'!$C$17+M120*'Pesos finales'!$C$18+N120*'Pesos finales'!$C$19+O120*'Pesos finales'!$C$20+P120*'Pesos finales'!$C$21+Q120*'Pesos finales'!$C$22+R120*'Pesos finales'!$C$23+'Pesos finales'!$C$27</f>
        <v/>
      </c>
      <c r="U120" s="7">
        <f>K120*'Pesos finales'!$D$16+L120*'Pesos finales'!$D$17+M120*'Pesos finales'!$D$18+N120*'Pesos finales'!$D$19+O120*'Pesos finales'!$D$20+P120*'Pesos finales'!$D$21+Q120*'Pesos finales'!$D$22+R120*'Pesos finales'!$D$23+'Pesos finales'!$D$27</f>
        <v/>
      </c>
      <c r="V120" s="7">
        <f>EXP(S120)/(EXP(S120)+EXP(T120)+EXP(U120))</f>
        <v/>
      </c>
      <c r="W120" s="7">
        <f>EXP(T120)/(EXP(S120)+EXP(T120)+EXP(U120))</f>
        <v/>
      </c>
      <c r="X120" s="7">
        <f>EXP(U120)/(EXP(S120)+EXP(T120)+EXP(U120))</f>
        <v/>
      </c>
      <c r="Y120">
        <f>IF(AND(V120&gt;=W120,V120&gt;=X120),"Iris-setosa",IF(AND(W120&gt;=X120),"Iris-versicolor","Iris-virginica"))</f>
        <v/>
      </c>
      <c r="Z120" t="inlineStr">
        <is>
          <t>Iris-virginica</t>
        </is>
      </c>
      <c r="AA120">
        <f>IF(Y120=Z120,"Sí","No")</f>
        <v/>
      </c>
      <c r="AB120" s="7" t="n">
        <v>1.269017008120094e-06</v>
      </c>
      <c r="AC120" s="7" t="n">
        <v>0.002714048654787373</v>
      </c>
      <c r="AD120" s="7" t="n">
        <v>0.9972846823282046</v>
      </c>
      <c r="AE120" t="inlineStr">
        <is>
          <t>Iris-virginica</t>
        </is>
      </c>
      <c r="AF120" s="9">
        <f>MAX(ABS(V120-AB120),ABS(W120-AC120),ABS(X120-AD120))</f>
        <v/>
      </c>
      <c r="AG120">
        <f>IF(AND(Y120=AE120,AF120&lt;1E-9),"Sí","No")</f>
        <v/>
      </c>
    </row>
    <row r="121">
      <c r="A121" t="n">
        <v>115</v>
      </c>
      <c r="B121" t="inlineStr">
        <is>
          <t>entrenamiento</t>
        </is>
      </c>
      <c r="C121" t="n">
        <v>5.8</v>
      </c>
      <c r="D121" t="n">
        <v>2.8</v>
      </c>
      <c r="E121" t="n">
        <v>5.1</v>
      </c>
      <c r="F121" t="n">
        <v>2.4</v>
      </c>
      <c r="G121" s="7">
        <f>(C121-'Pesos finales'!$B$31)/'Pesos finales'!$B$32</f>
        <v/>
      </c>
      <c r="H121" s="7">
        <f>(D121-'Pesos finales'!$C$31)/'Pesos finales'!$C$32</f>
        <v/>
      </c>
      <c r="I121" s="7">
        <f>(E121-'Pesos finales'!$D$31)/'Pesos finales'!$D$32</f>
        <v/>
      </c>
      <c r="J121" s="7">
        <f>(F121-'Pesos finales'!$E$31)/'Pesos finales'!$E$32</f>
        <v/>
      </c>
      <c r="K121" s="7">
        <f>TANH(G121*'Pesos finales'!$B$5+H121*'Pesos finales'!$B$6+I121*'Pesos finales'!$B$7+J121*'Pesos finales'!$B$8+'Pesos finales'!$B$12)</f>
        <v/>
      </c>
      <c r="L121" s="7">
        <f>TANH(G121*'Pesos finales'!$C$5+H121*'Pesos finales'!$C$6+I121*'Pesos finales'!$C$7+J121*'Pesos finales'!$C$8+'Pesos finales'!$C$12)</f>
        <v/>
      </c>
      <c r="M121" s="7">
        <f>TANH(G121*'Pesos finales'!$D$5+H121*'Pesos finales'!$D$6+I121*'Pesos finales'!$D$7+J121*'Pesos finales'!$D$8+'Pesos finales'!$D$12)</f>
        <v/>
      </c>
      <c r="N121" s="7">
        <f>TANH(G121*'Pesos finales'!$E$5+H121*'Pesos finales'!$E$6+I121*'Pesos finales'!$E$7+J121*'Pesos finales'!$E$8+'Pesos finales'!$E$12)</f>
        <v/>
      </c>
      <c r="O121" s="7">
        <f>TANH(G121*'Pesos finales'!$F$5+H121*'Pesos finales'!$F$6+I121*'Pesos finales'!$F$7+J121*'Pesos finales'!$F$8+'Pesos finales'!$F$12)</f>
        <v/>
      </c>
      <c r="P121" s="7">
        <f>TANH(G121*'Pesos finales'!$G$5+H121*'Pesos finales'!$G$6+I121*'Pesos finales'!$G$7+J121*'Pesos finales'!$G$8+'Pesos finales'!$G$12)</f>
        <v/>
      </c>
      <c r="Q121" s="7">
        <f>TANH(G121*'Pesos finales'!$H$5+H121*'Pesos finales'!$H$6+I121*'Pesos finales'!$H$7+J121*'Pesos finales'!$H$8+'Pesos finales'!$H$12)</f>
        <v/>
      </c>
      <c r="R121" s="7">
        <f>TANH(G121*'Pesos finales'!$I$5+H121*'Pesos finales'!$I$6+I121*'Pesos finales'!$I$7+J121*'Pesos finales'!$I$8+'Pesos finales'!$I$12)</f>
        <v/>
      </c>
      <c r="S121" s="7">
        <f>K121*'Pesos finales'!$B$16+L121*'Pesos finales'!$B$17+M121*'Pesos finales'!$B$18+N121*'Pesos finales'!$B$19+O121*'Pesos finales'!$B$20+P121*'Pesos finales'!$B$21+Q121*'Pesos finales'!$B$22+R121*'Pesos finales'!$B$23+'Pesos finales'!$B$27</f>
        <v/>
      </c>
      <c r="T121" s="7">
        <f>K121*'Pesos finales'!$C$16+L121*'Pesos finales'!$C$17+M121*'Pesos finales'!$C$18+N121*'Pesos finales'!$C$19+O121*'Pesos finales'!$C$20+P121*'Pesos finales'!$C$21+Q121*'Pesos finales'!$C$22+R121*'Pesos finales'!$C$23+'Pesos finales'!$C$27</f>
        <v/>
      </c>
      <c r="U121" s="7">
        <f>K121*'Pesos finales'!$D$16+L121*'Pesos finales'!$D$17+M121*'Pesos finales'!$D$18+N121*'Pesos finales'!$D$19+O121*'Pesos finales'!$D$20+P121*'Pesos finales'!$D$21+Q121*'Pesos finales'!$D$22+R121*'Pesos finales'!$D$23+'Pesos finales'!$D$27</f>
        <v/>
      </c>
      <c r="V121" s="7">
        <f>EXP(S121)/(EXP(S121)+EXP(T121)+EXP(U121))</f>
        <v/>
      </c>
      <c r="W121" s="7">
        <f>EXP(T121)/(EXP(S121)+EXP(T121)+EXP(U121))</f>
        <v/>
      </c>
      <c r="X121" s="7">
        <f>EXP(U121)/(EXP(S121)+EXP(T121)+EXP(U121))</f>
        <v/>
      </c>
      <c r="Y121">
        <f>IF(AND(V121&gt;=W121,V121&gt;=X121),"Iris-setosa",IF(AND(W121&gt;=X121),"Iris-versicolor","Iris-virginica"))</f>
        <v/>
      </c>
      <c r="Z121" t="inlineStr">
        <is>
          <t>Iris-virginica</t>
        </is>
      </c>
      <c r="AA121">
        <f>IF(Y121=Z121,"Sí","No")</f>
        <v/>
      </c>
      <c r="AB121" s="7" t="n">
        <v>3.618453712222268e-07</v>
      </c>
      <c r="AC121" s="7" t="n">
        <v>0.0007322865384770972</v>
      </c>
      <c r="AD121" s="7" t="n">
        <v>0.9992673516161518</v>
      </c>
      <c r="AE121" t="inlineStr">
        <is>
          <t>Iris-virginica</t>
        </is>
      </c>
      <c r="AF121" s="9">
        <f>MAX(ABS(V121-AB121),ABS(W121-AC121),ABS(X121-AD121))</f>
        <v/>
      </c>
      <c r="AG121">
        <f>IF(AND(Y121=AE121,AF121&lt;1E-9),"Sí","No")</f>
        <v/>
      </c>
    </row>
    <row r="122">
      <c r="A122" t="n">
        <v>116</v>
      </c>
      <c r="B122" t="inlineStr">
        <is>
          <t>prueba</t>
        </is>
      </c>
      <c r="C122" t="n">
        <v>6.4</v>
      </c>
      <c r="D122" t="n">
        <v>3.2</v>
      </c>
      <c r="E122" t="n">
        <v>5.3</v>
      </c>
      <c r="F122" t="n">
        <v>2.3</v>
      </c>
      <c r="G122" s="7">
        <f>(C122-'Pesos finales'!$B$31)/'Pesos finales'!$B$32</f>
        <v/>
      </c>
      <c r="H122" s="7">
        <f>(D122-'Pesos finales'!$C$31)/'Pesos finales'!$C$32</f>
        <v/>
      </c>
      <c r="I122" s="7">
        <f>(E122-'Pesos finales'!$D$31)/'Pesos finales'!$D$32</f>
        <v/>
      </c>
      <c r="J122" s="7">
        <f>(F122-'Pesos finales'!$E$31)/'Pesos finales'!$E$32</f>
        <v/>
      </c>
      <c r="K122" s="7">
        <f>TANH(G122*'Pesos finales'!$B$5+H122*'Pesos finales'!$B$6+I122*'Pesos finales'!$B$7+J122*'Pesos finales'!$B$8+'Pesos finales'!$B$12)</f>
        <v/>
      </c>
      <c r="L122" s="7">
        <f>TANH(G122*'Pesos finales'!$C$5+H122*'Pesos finales'!$C$6+I122*'Pesos finales'!$C$7+J122*'Pesos finales'!$C$8+'Pesos finales'!$C$12)</f>
        <v/>
      </c>
      <c r="M122" s="7">
        <f>TANH(G122*'Pesos finales'!$D$5+H122*'Pesos finales'!$D$6+I122*'Pesos finales'!$D$7+J122*'Pesos finales'!$D$8+'Pesos finales'!$D$12)</f>
        <v/>
      </c>
      <c r="N122" s="7">
        <f>TANH(G122*'Pesos finales'!$E$5+H122*'Pesos finales'!$E$6+I122*'Pesos finales'!$E$7+J122*'Pesos finales'!$E$8+'Pesos finales'!$E$12)</f>
        <v/>
      </c>
      <c r="O122" s="7">
        <f>TANH(G122*'Pesos finales'!$F$5+H122*'Pesos finales'!$F$6+I122*'Pesos finales'!$F$7+J122*'Pesos finales'!$F$8+'Pesos finales'!$F$12)</f>
        <v/>
      </c>
      <c r="P122" s="7">
        <f>TANH(G122*'Pesos finales'!$G$5+H122*'Pesos finales'!$G$6+I122*'Pesos finales'!$G$7+J122*'Pesos finales'!$G$8+'Pesos finales'!$G$12)</f>
        <v/>
      </c>
      <c r="Q122" s="7">
        <f>TANH(G122*'Pesos finales'!$H$5+H122*'Pesos finales'!$H$6+I122*'Pesos finales'!$H$7+J122*'Pesos finales'!$H$8+'Pesos finales'!$H$12)</f>
        <v/>
      </c>
      <c r="R122" s="7">
        <f>TANH(G122*'Pesos finales'!$I$5+H122*'Pesos finales'!$I$6+I122*'Pesos finales'!$I$7+J122*'Pesos finales'!$I$8+'Pesos finales'!$I$12)</f>
        <v/>
      </c>
      <c r="S122" s="7">
        <f>K122*'Pesos finales'!$B$16+L122*'Pesos finales'!$B$17+M122*'Pesos finales'!$B$18+N122*'Pesos finales'!$B$19+O122*'Pesos finales'!$B$20+P122*'Pesos finales'!$B$21+Q122*'Pesos finales'!$B$22+R122*'Pesos finales'!$B$23+'Pesos finales'!$B$27</f>
        <v/>
      </c>
      <c r="T122" s="7">
        <f>K122*'Pesos finales'!$C$16+L122*'Pesos finales'!$C$17+M122*'Pesos finales'!$C$18+N122*'Pesos finales'!$C$19+O122*'Pesos finales'!$C$20+P122*'Pesos finales'!$C$21+Q122*'Pesos finales'!$C$22+R122*'Pesos finales'!$C$23+'Pesos finales'!$C$27</f>
        <v/>
      </c>
      <c r="U122" s="7">
        <f>K122*'Pesos finales'!$D$16+L122*'Pesos finales'!$D$17+M122*'Pesos finales'!$D$18+N122*'Pesos finales'!$D$19+O122*'Pesos finales'!$D$20+P122*'Pesos finales'!$D$21+Q122*'Pesos finales'!$D$22+R122*'Pesos finales'!$D$23+'Pesos finales'!$D$27</f>
        <v/>
      </c>
      <c r="V122" s="7">
        <f>EXP(S122)/(EXP(S122)+EXP(T122)+EXP(U122))</f>
        <v/>
      </c>
      <c r="W122" s="7">
        <f>EXP(T122)/(EXP(S122)+EXP(T122)+EXP(U122))</f>
        <v/>
      </c>
      <c r="X122" s="7">
        <f>EXP(U122)/(EXP(S122)+EXP(T122)+EXP(U122))</f>
        <v/>
      </c>
      <c r="Y122">
        <f>IF(AND(V122&gt;=W122,V122&gt;=X122),"Iris-setosa",IF(AND(W122&gt;=X122),"Iris-versicolor","Iris-virginica"))</f>
        <v/>
      </c>
      <c r="Z122" t="inlineStr">
        <is>
          <t>Iris-virginica</t>
        </is>
      </c>
      <c r="AA122">
        <f>IF(Y122=Z122,"Sí","No")</f>
        <v/>
      </c>
      <c r="AB122" s="7" t="n">
        <v>9.947429334775855e-07</v>
      </c>
      <c r="AC122" s="7" t="n">
        <v>0.001854595208489807</v>
      </c>
      <c r="AD122" s="7" t="n">
        <v>0.9981444100485767</v>
      </c>
      <c r="AE122" t="inlineStr">
        <is>
          <t>Iris-virginica</t>
        </is>
      </c>
      <c r="AF122" s="9">
        <f>MAX(ABS(V122-AB122),ABS(W122-AC122),ABS(X122-AD122))</f>
        <v/>
      </c>
      <c r="AG122">
        <f>IF(AND(Y122=AE122,AF122&lt;1E-9),"Sí","No")</f>
        <v/>
      </c>
    </row>
    <row r="123">
      <c r="A123" t="n">
        <v>117</v>
      </c>
      <c r="B123" t="inlineStr">
        <is>
          <t>entrenamiento</t>
        </is>
      </c>
      <c r="C123" t="n">
        <v>6.5</v>
      </c>
      <c r="D123" t="n">
        <v>3</v>
      </c>
      <c r="E123" t="n">
        <v>5.5</v>
      </c>
      <c r="F123" t="n">
        <v>1.8</v>
      </c>
      <c r="G123" s="7">
        <f>(C123-'Pesos finales'!$B$31)/'Pesos finales'!$B$32</f>
        <v/>
      </c>
      <c r="H123" s="7">
        <f>(D123-'Pesos finales'!$C$31)/'Pesos finales'!$C$32</f>
        <v/>
      </c>
      <c r="I123" s="7">
        <f>(E123-'Pesos finales'!$D$31)/'Pesos finales'!$D$32</f>
        <v/>
      </c>
      <c r="J123" s="7">
        <f>(F123-'Pesos finales'!$E$31)/'Pesos finales'!$E$32</f>
        <v/>
      </c>
      <c r="K123" s="7">
        <f>TANH(G123*'Pesos finales'!$B$5+H123*'Pesos finales'!$B$6+I123*'Pesos finales'!$B$7+J123*'Pesos finales'!$B$8+'Pesos finales'!$B$12)</f>
        <v/>
      </c>
      <c r="L123" s="7">
        <f>TANH(G123*'Pesos finales'!$C$5+H123*'Pesos finales'!$C$6+I123*'Pesos finales'!$C$7+J123*'Pesos finales'!$C$8+'Pesos finales'!$C$12)</f>
        <v/>
      </c>
      <c r="M123" s="7">
        <f>TANH(G123*'Pesos finales'!$D$5+H123*'Pesos finales'!$D$6+I123*'Pesos finales'!$D$7+J123*'Pesos finales'!$D$8+'Pesos finales'!$D$12)</f>
        <v/>
      </c>
      <c r="N123" s="7">
        <f>TANH(G123*'Pesos finales'!$E$5+H123*'Pesos finales'!$E$6+I123*'Pesos finales'!$E$7+J123*'Pesos finales'!$E$8+'Pesos finales'!$E$12)</f>
        <v/>
      </c>
      <c r="O123" s="7">
        <f>TANH(G123*'Pesos finales'!$F$5+H123*'Pesos finales'!$F$6+I123*'Pesos finales'!$F$7+J123*'Pesos finales'!$F$8+'Pesos finales'!$F$12)</f>
        <v/>
      </c>
      <c r="P123" s="7">
        <f>TANH(G123*'Pesos finales'!$G$5+H123*'Pesos finales'!$G$6+I123*'Pesos finales'!$G$7+J123*'Pesos finales'!$G$8+'Pesos finales'!$G$12)</f>
        <v/>
      </c>
      <c r="Q123" s="7">
        <f>TANH(G123*'Pesos finales'!$H$5+H123*'Pesos finales'!$H$6+I123*'Pesos finales'!$H$7+J123*'Pesos finales'!$H$8+'Pesos finales'!$H$12)</f>
        <v/>
      </c>
      <c r="R123" s="7">
        <f>TANH(G123*'Pesos finales'!$I$5+H123*'Pesos finales'!$I$6+I123*'Pesos finales'!$I$7+J123*'Pesos finales'!$I$8+'Pesos finales'!$I$12)</f>
        <v/>
      </c>
      <c r="S123" s="7">
        <f>K123*'Pesos finales'!$B$16+L123*'Pesos finales'!$B$17+M123*'Pesos finales'!$B$18+N123*'Pesos finales'!$B$19+O123*'Pesos finales'!$B$20+P123*'Pesos finales'!$B$21+Q123*'Pesos finales'!$B$22+R123*'Pesos finales'!$B$23+'Pesos finales'!$B$27</f>
        <v/>
      </c>
      <c r="T123" s="7">
        <f>K123*'Pesos finales'!$C$16+L123*'Pesos finales'!$C$17+M123*'Pesos finales'!$C$18+N123*'Pesos finales'!$C$19+O123*'Pesos finales'!$C$20+P123*'Pesos finales'!$C$21+Q123*'Pesos finales'!$C$22+R123*'Pesos finales'!$C$23+'Pesos finales'!$C$27</f>
        <v/>
      </c>
      <c r="U123" s="7">
        <f>K123*'Pesos finales'!$D$16+L123*'Pesos finales'!$D$17+M123*'Pesos finales'!$D$18+N123*'Pesos finales'!$D$19+O123*'Pesos finales'!$D$20+P123*'Pesos finales'!$D$21+Q123*'Pesos finales'!$D$22+R123*'Pesos finales'!$D$23+'Pesos finales'!$D$27</f>
        <v/>
      </c>
      <c r="V123" s="7">
        <f>EXP(S123)/(EXP(S123)+EXP(T123)+EXP(U123))</f>
        <v/>
      </c>
      <c r="W123" s="7">
        <f>EXP(T123)/(EXP(S123)+EXP(T123)+EXP(U123))</f>
        <v/>
      </c>
      <c r="X123" s="7">
        <f>EXP(U123)/(EXP(S123)+EXP(T123)+EXP(U123))</f>
        <v/>
      </c>
      <c r="Y123">
        <f>IF(AND(V123&gt;=W123,V123&gt;=X123),"Iris-setosa",IF(AND(W123&gt;=X123),"Iris-versicolor","Iris-virginica"))</f>
        <v/>
      </c>
      <c r="Z123" t="inlineStr">
        <is>
          <t>Iris-virginica</t>
        </is>
      </c>
      <c r="AA123">
        <f>IF(Y123=Z123,"Sí","No")</f>
        <v/>
      </c>
      <c r="AB123" s="7" t="n">
        <v>1.200125813276893e-05</v>
      </c>
      <c r="AC123" s="7" t="n">
        <v>0.02490843767606801</v>
      </c>
      <c r="AD123" s="7" t="n">
        <v>0.9750795610657993</v>
      </c>
      <c r="AE123" t="inlineStr">
        <is>
          <t>Iris-virginica</t>
        </is>
      </c>
      <c r="AF123" s="9">
        <f>MAX(ABS(V123-AB123),ABS(W123-AC123),ABS(X123-AD123))</f>
        <v/>
      </c>
      <c r="AG123">
        <f>IF(AND(Y123=AE123,AF123&lt;1E-9),"Sí","No")</f>
        <v/>
      </c>
    </row>
    <row r="124">
      <c r="A124" t="n">
        <v>118</v>
      </c>
      <c r="B124" t="inlineStr">
        <is>
          <t>entrenamiento</t>
        </is>
      </c>
      <c r="C124" t="n">
        <v>7.7</v>
      </c>
      <c r="D124" t="n">
        <v>3.8</v>
      </c>
      <c r="E124" t="n">
        <v>6.7</v>
      </c>
      <c r="F124" t="n">
        <v>2.2</v>
      </c>
      <c r="G124" s="7">
        <f>(C124-'Pesos finales'!$B$31)/'Pesos finales'!$B$32</f>
        <v/>
      </c>
      <c r="H124" s="7">
        <f>(D124-'Pesos finales'!$C$31)/'Pesos finales'!$C$32</f>
        <v/>
      </c>
      <c r="I124" s="7">
        <f>(E124-'Pesos finales'!$D$31)/'Pesos finales'!$D$32</f>
        <v/>
      </c>
      <c r="J124" s="7">
        <f>(F124-'Pesos finales'!$E$31)/'Pesos finales'!$E$32</f>
        <v/>
      </c>
      <c r="K124" s="7">
        <f>TANH(G124*'Pesos finales'!$B$5+H124*'Pesos finales'!$B$6+I124*'Pesos finales'!$B$7+J124*'Pesos finales'!$B$8+'Pesos finales'!$B$12)</f>
        <v/>
      </c>
      <c r="L124" s="7">
        <f>TANH(G124*'Pesos finales'!$C$5+H124*'Pesos finales'!$C$6+I124*'Pesos finales'!$C$7+J124*'Pesos finales'!$C$8+'Pesos finales'!$C$12)</f>
        <v/>
      </c>
      <c r="M124" s="7">
        <f>TANH(G124*'Pesos finales'!$D$5+H124*'Pesos finales'!$D$6+I124*'Pesos finales'!$D$7+J124*'Pesos finales'!$D$8+'Pesos finales'!$D$12)</f>
        <v/>
      </c>
      <c r="N124" s="7">
        <f>TANH(G124*'Pesos finales'!$E$5+H124*'Pesos finales'!$E$6+I124*'Pesos finales'!$E$7+J124*'Pesos finales'!$E$8+'Pesos finales'!$E$12)</f>
        <v/>
      </c>
      <c r="O124" s="7">
        <f>TANH(G124*'Pesos finales'!$F$5+H124*'Pesos finales'!$F$6+I124*'Pesos finales'!$F$7+J124*'Pesos finales'!$F$8+'Pesos finales'!$F$12)</f>
        <v/>
      </c>
      <c r="P124" s="7">
        <f>TANH(G124*'Pesos finales'!$G$5+H124*'Pesos finales'!$G$6+I124*'Pesos finales'!$G$7+J124*'Pesos finales'!$G$8+'Pesos finales'!$G$12)</f>
        <v/>
      </c>
      <c r="Q124" s="7">
        <f>TANH(G124*'Pesos finales'!$H$5+H124*'Pesos finales'!$H$6+I124*'Pesos finales'!$H$7+J124*'Pesos finales'!$H$8+'Pesos finales'!$H$12)</f>
        <v/>
      </c>
      <c r="R124" s="7">
        <f>TANH(G124*'Pesos finales'!$I$5+H124*'Pesos finales'!$I$6+I124*'Pesos finales'!$I$7+J124*'Pesos finales'!$I$8+'Pesos finales'!$I$12)</f>
        <v/>
      </c>
      <c r="S124" s="7">
        <f>K124*'Pesos finales'!$B$16+L124*'Pesos finales'!$B$17+M124*'Pesos finales'!$B$18+N124*'Pesos finales'!$B$19+O124*'Pesos finales'!$B$20+P124*'Pesos finales'!$B$21+Q124*'Pesos finales'!$B$22+R124*'Pesos finales'!$B$23+'Pesos finales'!$B$27</f>
        <v/>
      </c>
      <c r="T124" s="7">
        <f>K124*'Pesos finales'!$C$16+L124*'Pesos finales'!$C$17+M124*'Pesos finales'!$C$18+N124*'Pesos finales'!$C$19+O124*'Pesos finales'!$C$20+P124*'Pesos finales'!$C$21+Q124*'Pesos finales'!$C$22+R124*'Pesos finales'!$C$23+'Pesos finales'!$C$27</f>
        <v/>
      </c>
      <c r="U124" s="7">
        <f>K124*'Pesos finales'!$D$16+L124*'Pesos finales'!$D$17+M124*'Pesos finales'!$D$18+N124*'Pesos finales'!$D$19+O124*'Pesos finales'!$D$20+P124*'Pesos finales'!$D$21+Q124*'Pesos finales'!$D$22+R124*'Pesos finales'!$D$23+'Pesos finales'!$D$27</f>
        <v/>
      </c>
      <c r="V124" s="7">
        <f>EXP(S124)/(EXP(S124)+EXP(T124)+EXP(U124))</f>
        <v/>
      </c>
      <c r="W124" s="7">
        <f>EXP(T124)/(EXP(S124)+EXP(T124)+EXP(U124))</f>
        <v/>
      </c>
      <c r="X124" s="7">
        <f>EXP(U124)/(EXP(S124)+EXP(T124)+EXP(U124))</f>
        <v/>
      </c>
      <c r="Y124">
        <f>IF(AND(V124&gt;=W124,V124&gt;=X124),"Iris-setosa",IF(AND(W124&gt;=X124),"Iris-versicolor","Iris-virginica"))</f>
        <v/>
      </c>
      <c r="Z124" t="inlineStr">
        <is>
          <t>Iris-virginica</t>
        </is>
      </c>
      <c r="AA124">
        <f>IF(Y124=Z124,"Sí","No")</f>
        <v/>
      </c>
      <c r="AB124" s="7" t="n">
        <v>5.814349309023224e-07</v>
      </c>
      <c r="AC124" s="7" t="n">
        <v>0.001148585707208271</v>
      </c>
      <c r="AD124" s="7" t="n">
        <v>0.9988508328578608</v>
      </c>
      <c r="AE124" t="inlineStr">
        <is>
          <t>Iris-virginica</t>
        </is>
      </c>
      <c r="AF124" s="9">
        <f>MAX(ABS(V124-AB124),ABS(W124-AC124),ABS(X124-AD124))</f>
        <v/>
      </c>
      <c r="AG124">
        <f>IF(AND(Y124=AE124,AF124&lt;1E-9),"Sí","No")</f>
        <v/>
      </c>
    </row>
    <row r="125">
      <c r="A125" t="n">
        <v>119</v>
      </c>
      <c r="B125" t="inlineStr">
        <is>
          <t>entrenamiento</t>
        </is>
      </c>
      <c r="C125" t="n">
        <v>7.7</v>
      </c>
      <c r="D125" t="n">
        <v>2.6</v>
      </c>
      <c r="E125" t="n">
        <v>6.9</v>
      </c>
      <c r="F125" t="n">
        <v>2.3</v>
      </c>
      <c r="G125" s="7">
        <f>(C125-'Pesos finales'!$B$31)/'Pesos finales'!$B$32</f>
        <v/>
      </c>
      <c r="H125" s="7">
        <f>(D125-'Pesos finales'!$C$31)/'Pesos finales'!$C$32</f>
        <v/>
      </c>
      <c r="I125" s="7">
        <f>(E125-'Pesos finales'!$D$31)/'Pesos finales'!$D$32</f>
        <v/>
      </c>
      <c r="J125" s="7">
        <f>(F125-'Pesos finales'!$E$31)/'Pesos finales'!$E$32</f>
        <v/>
      </c>
      <c r="K125" s="7">
        <f>TANH(G125*'Pesos finales'!$B$5+H125*'Pesos finales'!$B$6+I125*'Pesos finales'!$B$7+J125*'Pesos finales'!$B$8+'Pesos finales'!$B$12)</f>
        <v/>
      </c>
      <c r="L125" s="7">
        <f>TANH(G125*'Pesos finales'!$C$5+H125*'Pesos finales'!$C$6+I125*'Pesos finales'!$C$7+J125*'Pesos finales'!$C$8+'Pesos finales'!$C$12)</f>
        <v/>
      </c>
      <c r="M125" s="7">
        <f>TANH(G125*'Pesos finales'!$D$5+H125*'Pesos finales'!$D$6+I125*'Pesos finales'!$D$7+J125*'Pesos finales'!$D$8+'Pesos finales'!$D$12)</f>
        <v/>
      </c>
      <c r="N125" s="7">
        <f>TANH(G125*'Pesos finales'!$E$5+H125*'Pesos finales'!$E$6+I125*'Pesos finales'!$E$7+J125*'Pesos finales'!$E$8+'Pesos finales'!$E$12)</f>
        <v/>
      </c>
      <c r="O125" s="7">
        <f>TANH(G125*'Pesos finales'!$F$5+H125*'Pesos finales'!$F$6+I125*'Pesos finales'!$F$7+J125*'Pesos finales'!$F$8+'Pesos finales'!$F$12)</f>
        <v/>
      </c>
      <c r="P125" s="7">
        <f>TANH(G125*'Pesos finales'!$G$5+H125*'Pesos finales'!$G$6+I125*'Pesos finales'!$G$7+J125*'Pesos finales'!$G$8+'Pesos finales'!$G$12)</f>
        <v/>
      </c>
      <c r="Q125" s="7">
        <f>TANH(G125*'Pesos finales'!$H$5+H125*'Pesos finales'!$H$6+I125*'Pesos finales'!$H$7+J125*'Pesos finales'!$H$8+'Pesos finales'!$H$12)</f>
        <v/>
      </c>
      <c r="R125" s="7">
        <f>TANH(G125*'Pesos finales'!$I$5+H125*'Pesos finales'!$I$6+I125*'Pesos finales'!$I$7+J125*'Pesos finales'!$I$8+'Pesos finales'!$I$12)</f>
        <v/>
      </c>
      <c r="S125" s="7">
        <f>K125*'Pesos finales'!$B$16+L125*'Pesos finales'!$B$17+M125*'Pesos finales'!$B$18+N125*'Pesos finales'!$B$19+O125*'Pesos finales'!$B$20+P125*'Pesos finales'!$B$21+Q125*'Pesos finales'!$B$22+R125*'Pesos finales'!$B$23+'Pesos finales'!$B$27</f>
        <v/>
      </c>
      <c r="T125" s="7">
        <f>K125*'Pesos finales'!$C$16+L125*'Pesos finales'!$C$17+M125*'Pesos finales'!$C$18+N125*'Pesos finales'!$C$19+O125*'Pesos finales'!$C$20+P125*'Pesos finales'!$C$21+Q125*'Pesos finales'!$C$22+R125*'Pesos finales'!$C$23+'Pesos finales'!$C$27</f>
        <v/>
      </c>
      <c r="U125" s="7">
        <f>K125*'Pesos finales'!$D$16+L125*'Pesos finales'!$D$17+M125*'Pesos finales'!$D$18+N125*'Pesos finales'!$D$19+O125*'Pesos finales'!$D$20+P125*'Pesos finales'!$D$21+Q125*'Pesos finales'!$D$22+R125*'Pesos finales'!$D$23+'Pesos finales'!$D$27</f>
        <v/>
      </c>
      <c r="V125" s="7">
        <f>EXP(S125)/(EXP(S125)+EXP(T125)+EXP(U125))</f>
        <v/>
      </c>
      <c r="W125" s="7">
        <f>EXP(T125)/(EXP(S125)+EXP(T125)+EXP(U125))</f>
        <v/>
      </c>
      <c r="X125" s="7">
        <f>EXP(U125)/(EXP(S125)+EXP(T125)+EXP(U125))</f>
        <v/>
      </c>
      <c r="Y125">
        <f>IF(AND(V125&gt;=W125,V125&gt;=X125),"Iris-setosa",IF(AND(W125&gt;=X125),"Iris-versicolor","Iris-virginica"))</f>
        <v/>
      </c>
      <c r="Z125" t="inlineStr">
        <is>
          <t>Iris-virginica</t>
        </is>
      </c>
      <c r="AA125">
        <f>IF(Y125=Z125,"Sí","No")</f>
        <v/>
      </c>
      <c r="AB125" s="7" t="n">
        <v>1.438560621931909e-07</v>
      </c>
      <c r="AC125" s="7" t="n">
        <v>0.0004108908040854049</v>
      </c>
      <c r="AD125" s="7" t="n">
        <v>0.9995889653398523</v>
      </c>
      <c r="AE125" t="inlineStr">
        <is>
          <t>Iris-virginica</t>
        </is>
      </c>
      <c r="AF125" s="9">
        <f>MAX(ABS(V125-AB125),ABS(W125-AC125),ABS(X125-AD125))</f>
        <v/>
      </c>
      <c r="AG125">
        <f>IF(AND(Y125=AE125,AF125&lt;1E-9),"Sí","No")</f>
        <v/>
      </c>
    </row>
    <row r="126">
      <c r="A126" t="n">
        <v>120</v>
      </c>
      <c r="B126" t="inlineStr">
        <is>
          <t>entrenamiento</t>
        </is>
      </c>
      <c r="C126" t="n">
        <v>6</v>
      </c>
      <c r="D126" t="n">
        <v>2.2</v>
      </c>
      <c r="E126" t="n">
        <v>5</v>
      </c>
      <c r="F126" t="n">
        <v>1.5</v>
      </c>
      <c r="G126" s="7">
        <f>(C126-'Pesos finales'!$B$31)/'Pesos finales'!$B$32</f>
        <v/>
      </c>
      <c r="H126" s="7">
        <f>(D126-'Pesos finales'!$C$31)/'Pesos finales'!$C$32</f>
        <v/>
      </c>
      <c r="I126" s="7">
        <f>(E126-'Pesos finales'!$D$31)/'Pesos finales'!$D$32</f>
        <v/>
      </c>
      <c r="J126" s="7">
        <f>(F126-'Pesos finales'!$E$31)/'Pesos finales'!$E$32</f>
        <v/>
      </c>
      <c r="K126" s="7">
        <f>TANH(G126*'Pesos finales'!$B$5+H126*'Pesos finales'!$B$6+I126*'Pesos finales'!$B$7+J126*'Pesos finales'!$B$8+'Pesos finales'!$B$12)</f>
        <v/>
      </c>
      <c r="L126" s="7">
        <f>TANH(G126*'Pesos finales'!$C$5+H126*'Pesos finales'!$C$6+I126*'Pesos finales'!$C$7+J126*'Pesos finales'!$C$8+'Pesos finales'!$C$12)</f>
        <v/>
      </c>
      <c r="M126" s="7">
        <f>TANH(G126*'Pesos finales'!$D$5+H126*'Pesos finales'!$D$6+I126*'Pesos finales'!$D$7+J126*'Pesos finales'!$D$8+'Pesos finales'!$D$12)</f>
        <v/>
      </c>
      <c r="N126" s="7">
        <f>TANH(G126*'Pesos finales'!$E$5+H126*'Pesos finales'!$E$6+I126*'Pesos finales'!$E$7+J126*'Pesos finales'!$E$8+'Pesos finales'!$E$12)</f>
        <v/>
      </c>
      <c r="O126" s="7">
        <f>TANH(G126*'Pesos finales'!$F$5+H126*'Pesos finales'!$F$6+I126*'Pesos finales'!$F$7+J126*'Pesos finales'!$F$8+'Pesos finales'!$F$12)</f>
        <v/>
      </c>
      <c r="P126" s="7">
        <f>TANH(G126*'Pesos finales'!$G$5+H126*'Pesos finales'!$G$6+I126*'Pesos finales'!$G$7+J126*'Pesos finales'!$G$8+'Pesos finales'!$G$12)</f>
        <v/>
      </c>
      <c r="Q126" s="7">
        <f>TANH(G126*'Pesos finales'!$H$5+H126*'Pesos finales'!$H$6+I126*'Pesos finales'!$H$7+J126*'Pesos finales'!$H$8+'Pesos finales'!$H$12)</f>
        <v/>
      </c>
      <c r="R126" s="7">
        <f>TANH(G126*'Pesos finales'!$I$5+H126*'Pesos finales'!$I$6+I126*'Pesos finales'!$I$7+J126*'Pesos finales'!$I$8+'Pesos finales'!$I$12)</f>
        <v/>
      </c>
      <c r="S126" s="7">
        <f>K126*'Pesos finales'!$B$16+L126*'Pesos finales'!$B$17+M126*'Pesos finales'!$B$18+N126*'Pesos finales'!$B$19+O126*'Pesos finales'!$B$20+P126*'Pesos finales'!$B$21+Q126*'Pesos finales'!$B$22+R126*'Pesos finales'!$B$23+'Pesos finales'!$B$27</f>
        <v/>
      </c>
      <c r="T126" s="7">
        <f>K126*'Pesos finales'!$C$16+L126*'Pesos finales'!$C$17+M126*'Pesos finales'!$C$18+N126*'Pesos finales'!$C$19+O126*'Pesos finales'!$C$20+P126*'Pesos finales'!$C$21+Q126*'Pesos finales'!$C$22+R126*'Pesos finales'!$C$23+'Pesos finales'!$C$27</f>
        <v/>
      </c>
      <c r="U126" s="7">
        <f>K126*'Pesos finales'!$D$16+L126*'Pesos finales'!$D$17+M126*'Pesos finales'!$D$18+N126*'Pesos finales'!$D$19+O126*'Pesos finales'!$D$20+P126*'Pesos finales'!$D$21+Q126*'Pesos finales'!$D$22+R126*'Pesos finales'!$D$23+'Pesos finales'!$D$27</f>
        <v/>
      </c>
      <c r="V126" s="7">
        <f>EXP(S126)/(EXP(S126)+EXP(T126)+EXP(U126))</f>
        <v/>
      </c>
      <c r="W126" s="7">
        <f>EXP(T126)/(EXP(S126)+EXP(T126)+EXP(U126))</f>
        <v/>
      </c>
      <c r="X126" s="7">
        <f>EXP(U126)/(EXP(S126)+EXP(T126)+EXP(U126))</f>
        <v/>
      </c>
      <c r="Y126">
        <f>IF(AND(V126&gt;=W126,V126&gt;=X126),"Iris-setosa",IF(AND(W126&gt;=X126),"Iris-versicolor","Iris-virginica"))</f>
        <v/>
      </c>
      <c r="Z126" t="inlineStr">
        <is>
          <t>Iris-virginica</t>
        </is>
      </c>
      <c r="AA126">
        <f>IF(Y126=Z126,"Sí","No")</f>
        <v/>
      </c>
      <c r="AB126" s="7" t="n">
        <v>3.992868227336767e-05</v>
      </c>
      <c r="AC126" s="7" t="n">
        <v>0.1403561767108915</v>
      </c>
      <c r="AD126" s="7" t="n">
        <v>0.8596038946068352</v>
      </c>
      <c r="AE126" t="inlineStr">
        <is>
          <t>Iris-virginica</t>
        </is>
      </c>
      <c r="AF126" s="9">
        <f>MAX(ABS(V126-AB126),ABS(W126-AC126),ABS(X126-AD126))</f>
        <v/>
      </c>
      <c r="AG126">
        <f>IF(AND(Y126=AE126,AF126&lt;1E-9),"Sí","No")</f>
        <v/>
      </c>
    </row>
    <row r="127">
      <c r="A127" t="n">
        <v>121</v>
      </c>
      <c r="B127" t="inlineStr">
        <is>
          <t>entrenamiento</t>
        </is>
      </c>
      <c r="C127" t="n">
        <v>6.9</v>
      </c>
      <c r="D127" t="n">
        <v>3.2</v>
      </c>
      <c r="E127" t="n">
        <v>5.7</v>
      </c>
      <c r="F127" t="n">
        <v>2.3</v>
      </c>
      <c r="G127" s="7">
        <f>(C127-'Pesos finales'!$B$31)/'Pesos finales'!$B$32</f>
        <v/>
      </c>
      <c r="H127" s="7">
        <f>(D127-'Pesos finales'!$C$31)/'Pesos finales'!$C$32</f>
        <v/>
      </c>
      <c r="I127" s="7">
        <f>(E127-'Pesos finales'!$D$31)/'Pesos finales'!$D$32</f>
        <v/>
      </c>
      <c r="J127" s="7">
        <f>(F127-'Pesos finales'!$E$31)/'Pesos finales'!$E$32</f>
        <v/>
      </c>
      <c r="K127" s="7">
        <f>TANH(G127*'Pesos finales'!$B$5+H127*'Pesos finales'!$B$6+I127*'Pesos finales'!$B$7+J127*'Pesos finales'!$B$8+'Pesos finales'!$B$12)</f>
        <v/>
      </c>
      <c r="L127" s="7">
        <f>TANH(G127*'Pesos finales'!$C$5+H127*'Pesos finales'!$C$6+I127*'Pesos finales'!$C$7+J127*'Pesos finales'!$C$8+'Pesos finales'!$C$12)</f>
        <v/>
      </c>
      <c r="M127" s="7">
        <f>TANH(G127*'Pesos finales'!$D$5+H127*'Pesos finales'!$D$6+I127*'Pesos finales'!$D$7+J127*'Pesos finales'!$D$8+'Pesos finales'!$D$12)</f>
        <v/>
      </c>
      <c r="N127" s="7">
        <f>TANH(G127*'Pesos finales'!$E$5+H127*'Pesos finales'!$E$6+I127*'Pesos finales'!$E$7+J127*'Pesos finales'!$E$8+'Pesos finales'!$E$12)</f>
        <v/>
      </c>
      <c r="O127" s="7">
        <f>TANH(G127*'Pesos finales'!$F$5+H127*'Pesos finales'!$F$6+I127*'Pesos finales'!$F$7+J127*'Pesos finales'!$F$8+'Pesos finales'!$F$12)</f>
        <v/>
      </c>
      <c r="P127" s="7">
        <f>TANH(G127*'Pesos finales'!$G$5+H127*'Pesos finales'!$G$6+I127*'Pesos finales'!$G$7+J127*'Pesos finales'!$G$8+'Pesos finales'!$G$12)</f>
        <v/>
      </c>
      <c r="Q127" s="7">
        <f>TANH(G127*'Pesos finales'!$H$5+H127*'Pesos finales'!$H$6+I127*'Pesos finales'!$H$7+J127*'Pesos finales'!$H$8+'Pesos finales'!$H$12)</f>
        <v/>
      </c>
      <c r="R127" s="7">
        <f>TANH(G127*'Pesos finales'!$I$5+H127*'Pesos finales'!$I$6+I127*'Pesos finales'!$I$7+J127*'Pesos finales'!$I$8+'Pesos finales'!$I$12)</f>
        <v/>
      </c>
      <c r="S127" s="7">
        <f>K127*'Pesos finales'!$B$16+L127*'Pesos finales'!$B$17+M127*'Pesos finales'!$B$18+N127*'Pesos finales'!$B$19+O127*'Pesos finales'!$B$20+P127*'Pesos finales'!$B$21+Q127*'Pesos finales'!$B$22+R127*'Pesos finales'!$B$23+'Pesos finales'!$B$27</f>
        <v/>
      </c>
      <c r="T127" s="7">
        <f>K127*'Pesos finales'!$C$16+L127*'Pesos finales'!$C$17+M127*'Pesos finales'!$C$18+N127*'Pesos finales'!$C$19+O127*'Pesos finales'!$C$20+P127*'Pesos finales'!$C$21+Q127*'Pesos finales'!$C$22+R127*'Pesos finales'!$C$23+'Pesos finales'!$C$27</f>
        <v/>
      </c>
      <c r="U127" s="7">
        <f>K127*'Pesos finales'!$D$16+L127*'Pesos finales'!$D$17+M127*'Pesos finales'!$D$18+N127*'Pesos finales'!$D$19+O127*'Pesos finales'!$D$20+P127*'Pesos finales'!$D$21+Q127*'Pesos finales'!$D$22+R127*'Pesos finales'!$D$23+'Pesos finales'!$D$27</f>
        <v/>
      </c>
      <c r="V127" s="7">
        <f>EXP(S127)/(EXP(S127)+EXP(T127)+EXP(U127))</f>
        <v/>
      </c>
      <c r="W127" s="7">
        <f>EXP(T127)/(EXP(S127)+EXP(T127)+EXP(U127))</f>
        <v/>
      </c>
      <c r="X127" s="7">
        <f>EXP(U127)/(EXP(S127)+EXP(T127)+EXP(U127))</f>
        <v/>
      </c>
      <c r="Y127">
        <f>IF(AND(V127&gt;=W127,V127&gt;=X127),"Iris-setosa",IF(AND(W127&gt;=X127),"Iris-versicolor","Iris-virginica"))</f>
        <v/>
      </c>
      <c r="Z127" t="inlineStr">
        <is>
          <t>Iris-virginica</t>
        </is>
      </c>
      <c r="AA127">
        <f>IF(Y127=Z127,"Sí","No")</f>
        <v/>
      </c>
      <c r="AB127" s="7" t="n">
        <v>4.477104407792165e-07</v>
      </c>
      <c r="AC127" s="7" t="n">
        <v>0.0009964602916726821</v>
      </c>
      <c r="AD127" s="7" t="n">
        <v>0.9990030919978864</v>
      </c>
      <c r="AE127" t="inlineStr">
        <is>
          <t>Iris-virginica</t>
        </is>
      </c>
      <c r="AF127" s="9">
        <f>MAX(ABS(V127-AB127),ABS(W127-AC127),ABS(X127-AD127))</f>
        <v/>
      </c>
      <c r="AG127">
        <f>IF(AND(Y127=AE127,AF127&lt;1E-9),"Sí","No")</f>
        <v/>
      </c>
    </row>
    <row r="128">
      <c r="A128" t="n">
        <v>122</v>
      </c>
      <c r="B128" t="inlineStr">
        <is>
          <t>entrenamiento</t>
        </is>
      </c>
      <c r="C128" t="n">
        <v>5.6</v>
      </c>
      <c r="D128" t="n">
        <v>2.8</v>
      </c>
      <c r="E128" t="n">
        <v>4.9</v>
      </c>
      <c r="F128" t="n">
        <v>2</v>
      </c>
      <c r="G128" s="7">
        <f>(C128-'Pesos finales'!$B$31)/'Pesos finales'!$B$32</f>
        <v/>
      </c>
      <c r="H128" s="7">
        <f>(D128-'Pesos finales'!$C$31)/'Pesos finales'!$C$32</f>
        <v/>
      </c>
      <c r="I128" s="7">
        <f>(E128-'Pesos finales'!$D$31)/'Pesos finales'!$D$32</f>
        <v/>
      </c>
      <c r="J128" s="7">
        <f>(F128-'Pesos finales'!$E$31)/'Pesos finales'!$E$32</f>
        <v/>
      </c>
      <c r="K128" s="7">
        <f>TANH(G128*'Pesos finales'!$B$5+H128*'Pesos finales'!$B$6+I128*'Pesos finales'!$B$7+J128*'Pesos finales'!$B$8+'Pesos finales'!$B$12)</f>
        <v/>
      </c>
      <c r="L128" s="7">
        <f>TANH(G128*'Pesos finales'!$C$5+H128*'Pesos finales'!$C$6+I128*'Pesos finales'!$C$7+J128*'Pesos finales'!$C$8+'Pesos finales'!$C$12)</f>
        <v/>
      </c>
      <c r="M128" s="7">
        <f>TANH(G128*'Pesos finales'!$D$5+H128*'Pesos finales'!$D$6+I128*'Pesos finales'!$D$7+J128*'Pesos finales'!$D$8+'Pesos finales'!$D$12)</f>
        <v/>
      </c>
      <c r="N128" s="7">
        <f>TANH(G128*'Pesos finales'!$E$5+H128*'Pesos finales'!$E$6+I128*'Pesos finales'!$E$7+J128*'Pesos finales'!$E$8+'Pesos finales'!$E$12)</f>
        <v/>
      </c>
      <c r="O128" s="7">
        <f>TANH(G128*'Pesos finales'!$F$5+H128*'Pesos finales'!$F$6+I128*'Pesos finales'!$F$7+J128*'Pesos finales'!$F$8+'Pesos finales'!$F$12)</f>
        <v/>
      </c>
      <c r="P128" s="7">
        <f>TANH(G128*'Pesos finales'!$G$5+H128*'Pesos finales'!$G$6+I128*'Pesos finales'!$G$7+J128*'Pesos finales'!$G$8+'Pesos finales'!$G$12)</f>
        <v/>
      </c>
      <c r="Q128" s="7">
        <f>TANH(G128*'Pesos finales'!$H$5+H128*'Pesos finales'!$H$6+I128*'Pesos finales'!$H$7+J128*'Pesos finales'!$H$8+'Pesos finales'!$H$12)</f>
        <v/>
      </c>
      <c r="R128" s="7">
        <f>TANH(G128*'Pesos finales'!$I$5+H128*'Pesos finales'!$I$6+I128*'Pesos finales'!$I$7+J128*'Pesos finales'!$I$8+'Pesos finales'!$I$12)</f>
        <v/>
      </c>
      <c r="S128" s="7">
        <f>K128*'Pesos finales'!$B$16+L128*'Pesos finales'!$B$17+M128*'Pesos finales'!$B$18+N128*'Pesos finales'!$B$19+O128*'Pesos finales'!$B$20+P128*'Pesos finales'!$B$21+Q128*'Pesos finales'!$B$22+R128*'Pesos finales'!$B$23+'Pesos finales'!$B$27</f>
        <v/>
      </c>
      <c r="T128" s="7">
        <f>K128*'Pesos finales'!$C$16+L128*'Pesos finales'!$C$17+M128*'Pesos finales'!$C$18+N128*'Pesos finales'!$C$19+O128*'Pesos finales'!$C$20+P128*'Pesos finales'!$C$21+Q128*'Pesos finales'!$C$22+R128*'Pesos finales'!$C$23+'Pesos finales'!$C$27</f>
        <v/>
      </c>
      <c r="U128" s="7">
        <f>K128*'Pesos finales'!$D$16+L128*'Pesos finales'!$D$17+M128*'Pesos finales'!$D$18+N128*'Pesos finales'!$D$19+O128*'Pesos finales'!$D$20+P128*'Pesos finales'!$D$21+Q128*'Pesos finales'!$D$22+R128*'Pesos finales'!$D$23+'Pesos finales'!$D$27</f>
        <v/>
      </c>
      <c r="V128" s="7">
        <f>EXP(S128)/(EXP(S128)+EXP(T128)+EXP(U128))</f>
        <v/>
      </c>
      <c r="W128" s="7">
        <f>EXP(T128)/(EXP(S128)+EXP(T128)+EXP(U128))</f>
        <v/>
      </c>
      <c r="X128" s="7">
        <f>EXP(U128)/(EXP(S128)+EXP(T128)+EXP(U128))</f>
        <v/>
      </c>
      <c r="Y128">
        <f>IF(AND(V128&gt;=W128,V128&gt;=X128),"Iris-setosa",IF(AND(W128&gt;=X128),"Iris-versicolor","Iris-virginica"))</f>
        <v/>
      </c>
      <c r="Z128" t="inlineStr">
        <is>
          <t>Iris-virginica</t>
        </is>
      </c>
      <c r="AA128">
        <f>IF(Y128=Z128,"Sí","No")</f>
        <v/>
      </c>
      <c r="AB128" s="7" t="n">
        <v>6.620196793877692e-06</v>
      </c>
      <c r="AC128" s="7" t="n">
        <v>0.01003408047354191</v>
      </c>
      <c r="AD128" s="7" t="n">
        <v>0.9899592993296643</v>
      </c>
      <c r="AE128" t="inlineStr">
        <is>
          <t>Iris-virginica</t>
        </is>
      </c>
      <c r="AF128" s="9">
        <f>MAX(ABS(V128-AB128),ABS(W128-AC128),ABS(X128-AD128))</f>
        <v/>
      </c>
      <c r="AG128">
        <f>IF(AND(Y128=AE128,AF128&lt;1E-9),"Sí","No")</f>
        <v/>
      </c>
    </row>
    <row r="129">
      <c r="A129" t="n">
        <v>123</v>
      </c>
      <c r="B129" t="inlineStr">
        <is>
          <t>entrenamiento</t>
        </is>
      </c>
      <c r="C129" t="n">
        <v>7.7</v>
      </c>
      <c r="D129" t="n">
        <v>2.8</v>
      </c>
      <c r="E129" t="n">
        <v>6.7</v>
      </c>
      <c r="F129" t="n">
        <v>2</v>
      </c>
      <c r="G129" s="7">
        <f>(C129-'Pesos finales'!$B$31)/'Pesos finales'!$B$32</f>
        <v/>
      </c>
      <c r="H129" s="7">
        <f>(D129-'Pesos finales'!$C$31)/'Pesos finales'!$C$32</f>
        <v/>
      </c>
      <c r="I129" s="7">
        <f>(E129-'Pesos finales'!$D$31)/'Pesos finales'!$D$32</f>
        <v/>
      </c>
      <c r="J129" s="7">
        <f>(F129-'Pesos finales'!$E$31)/'Pesos finales'!$E$32</f>
        <v/>
      </c>
      <c r="K129" s="7">
        <f>TANH(G129*'Pesos finales'!$B$5+H129*'Pesos finales'!$B$6+I129*'Pesos finales'!$B$7+J129*'Pesos finales'!$B$8+'Pesos finales'!$B$12)</f>
        <v/>
      </c>
      <c r="L129" s="7">
        <f>TANH(G129*'Pesos finales'!$C$5+H129*'Pesos finales'!$C$6+I129*'Pesos finales'!$C$7+J129*'Pesos finales'!$C$8+'Pesos finales'!$C$12)</f>
        <v/>
      </c>
      <c r="M129" s="7">
        <f>TANH(G129*'Pesos finales'!$D$5+H129*'Pesos finales'!$D$6+I129*'Pesos finales'!$D$7+J129*'Pesos finales'!$D$8+'Pesos finales'!$D$12)</f>
        <v/>
      </c>
      <c r="N129" s="7">
        <f>TANH(G129*'Pesos finales'!$E$5+H129*'Pesos finales'!$E$6+I129*'Pesos finales'!$E$7+J129*'Pesos finales'!$E$8+'Pesos finales'!$E$12)</f>
        <v/>
      </c>
      <c r="O129" s="7">
        <f>TANH(G129*'Pesos finales'!$F$5+H129*'Pesos finales'!$F$6+I129*'Pesos finales'!$F$7+J129*'Pesos finales'!$F$8+'Pesos finales'!$F$12)</f>
        <v/>
      </c>
      <c r="P129" s="7">
        <f>TANH(G129*'Pesos finales'!$G$5+H129*'Pesos finales'!$G$6+I129*'Pesos finales'!$G$7+J129*'Pesos finales'!$G$8+'Pesos finales'!$G$12)</f>
        <v/>
      </c>
      <c r="Q129" s="7">
        <f>TANH(G129*'Pesos finales'!$H$5+H129*'Pesos finales'!$H$6+I129*'Pesos finales'!$H$7+J129*'Pesos finales'!$H$8+'Pesos finales'!$H$12)</f>
        <v/>
      </c>
      <c r="R129" s="7">
        <f>TANH(G129*'Pesos finales'!$I$5+H129*'Pesos finales'!$I$6+I129*'Pesos finales'!$I$7+J129*'Pesos finales'!$I$8+'Pesos finales'!$I$12)</f>
        <v/>
      </c>
      <c r="S129" s="7">
        <f>K129*'Pesos finales'!$B$16+L129*'Pesos finales'!$B$17+M129*'Pesos finales'!$B$18+N129*'Pesos finales'!$B$19+O129*'Pesos finales'!$B$20+P129*'Pesos finales'!$B$21+Q129*'Pesos finales'!$B$22+R129*'Pesos finales'!$B$23+'Pesos finales'!$B$27</f>
        <v/>
      </c>
      <c r="T129" s="7">
        <f>K129*'Pesos finales'!$C$16+L129*'Pesos finales'!$C$17+M129*'Pesos finales'!$C$18+N129*'Pesos finales'!$C$19+O129*'Pesos finales'!$C$20+P129*'Pesos finales'!$C$21+Q129*'Pesos finales'!$C$22+R129*'Pesos finales'!$C$23+'Pesos finales'!$C$27</f>
        <v/>
      </c>
      <c r="U129" s="7">
        <f>K129*'Pesos finales'!$D$16+L129*'Pesos finales'!$D$17+M129*'Pesos finales'!$D$18+N129*'Pesos finales'!$D$19+O129*'Pesos finales'!$D$20+P129*'Pesos finales'!$D$21+Q129*'Pesos finales'!$D$22+R129*'Pesos finales'!$D$23+'Pesos finales'!$D$27</f>
        <v/>
      </c>
      <c r="V129" s="7">
        <f>EXP(S129)/(EXP(S129)+EXP(T129)+EXP(U129))</f>
        <v/>
      </c>
      <c r="W129" s="7">
        <f>EXP(T129)/(EXP(S129)+EXP(T129)+EXP(U129))</f>
        <v/>
      </c>
      <c r="X129" s="7">
        <f>EXP(U129)/(EXP(S129)+EXP(T129)+EXP(U129))</f>
        <v/>
      </c>
      <c r="Y129">
        <f>IF(AND(V129&gt;=W129,V129&gt;=X129),"Iris-setosa",IF(AND(W129&gt;=X129),"Iris-versicolor","Iris-virginica"))</f>
        <v/>
      </c>
      <c r="Z129" t="inlineStr">
        <is>
          <t>Iris-virginica</t>
        </is>
      </c>
      <c r="AA129">
        <f>IF(Y129=Z129,"Sí","No")</f>
        <v/>
      </c>
      <c r="AB129" s="7" t="n">
        <v>3.624983035134824e-07</v>
      </c>
      <c r="AC129" s="7" t="n">
        <v>0.001091739276090688</v>
      </c>
      <c r="AD129" s="7" t="n">
        <v>0.9989078982256057</v>
      </c>
      <c r="AE129" t="inlineStr">
        <is>
          <t>Iris-virginica</t>
        </is>
      </c>
      <c r="AF129" s="9">
        <f>MAX(ABS(V129-AB129),ABS(W129-AC129),ABS(X129-AD129))</f>
        <v/>
      </c>
      <c r="AG129">
        <f>IF(AND(Y129=AE129,AF129&lt;1E-9),"Sí","No")</f>
        <v/>
      </c>
    </row>
    <row r="130">
      <c r="A130" t="n">
        <v>124</v>
      </c>
      <c r="B130" t="inlineStr">
        <is>
          <t>entrenamiento</t>
        </is>
      </c>
      <c r="C130" t="n">
        <v>6.3</v>
      </c>
      <c r="D130" t="n">
        <v>2.7</v>
      </c>
      <c r="E130" t="n">
        <v>4.9</v>
      </c>
      <c r="F130" t="n">
        <v>1.8</v>
      </c>
      <c r="G130" s="7">
        <f>(C130-'Pesos finales'!$B$31)/'Pesos finales'!$B$32</f>
        <v/>
      </c>
      <c r="H130" s="7">
        <f>(D130-'Pesos finales'!$C$31)/'Pesos finales'!$C$32</f>
        <v/>
      </c>
      <c r="I130" s="7">
        <f>(E130-'Pesos finales'!$D$31)/'Pesos finales'!$D$32</f>
        <v/>
      </c>
      <c r="J130" s="7">
        <f>(F130-'Pesos finales'!$E$31)/'Pesos finales'!$E$32</f>
        <v/>
      </c>
      <c r="K130" s="7">
        <f>TANH(G130*'Pesos finales'!$B$5+H130*'Pesos finales'!$B$6+I130*'Pesos finales'!$B$7+J130*'Pesos finales'!$B$8+'Pesos finales'!$B$12)</f>
        <v/>
      </c>
      <c r="L130" s="7">
        <f>TANH(G130*'Pesos finales'!$C$5+H130*'Pesos finales'!$C$6+I130*'Pesos finales'!$C$7+J130*'Pesos finales'!$C$8+'Pesos finales'!$C$12)</f>
        <v/>
      </c>
      <c r="M130" s="7">
        <f>TANH(G130*'Pesos finales'!$D$5+H130*'Pesos finales'!$D$6+I130*'Pesos finales'!$D$7+J130*'Pesos finales'!$D$8+'Pesos finales'!$D$12)</f>
        <v/>
      </c>
      <c r="N130" s="7">
        <f>TANH(G130*'Pesos finales'!$E$5+H130*'Pesos finales'!$E$6+I130*'Pesos finales'!$E$7+J130*'Pesos finales'!$E$8+'Pesos finales'!$E$12)</f>
        <v/>
      </c>
      <c r="O130" s="7">
        <f>TANH(G130*'Pesos finales'!$F$5+H130*'Pesos finales'!$F$6+I130*'Pesos finales'!$F$7+J130*'Pesos finales'!$F$8+'Pesos finales'!$F$12)</f>
        <v/>
      </c>
      <c r="P130" s="7">
        <f>TANH(G130*'Pesos finales'!$G$5+H130*'Pesos finales'!$G$6+I130*'Pesos finales'!$G$7+J130*'Pesos finales'!$G$8+'Pesos finales'!$G$12)</f>
        <v/>
      </c>
      <c r="Q130" s="7">
        <f>TANH(G130*'Pesos finales'!$H$5+H130*'Pesos finales'!$H$6+I130*'Pesos finales'!$H$7+J130*'Pesos finales'!$H$8+'Pesos finales'!$H$12)</f>
        <v/>
      </c>
      <c r="R130" s="7">
        <f>TANH(G130*'Pesos finales'!$I$5+H130*'Pesos finales'!$I$6+I130*'Pesos finales'!$I$7+J130*'Pesos finales'!$I$8+'Pesos finales'!$I$12)</f>
        <v/>
      </c>
      <c r="S130" s="7">
        <f>K130*'Pesos finales'!$B$16+L130*'Pesos finales'!$B$17+M130*'Pesos finales'!$B$18+N130*'Pesos finales'!$B$19+O130*'Pesos finales'!$B$20+P130*'Pesos finales'!$B$21+Q130*'Pesos finales'!$B$22+R130*'Pesos finales'!$B$23+'Pesos finales'!$B$27</f>
        <v/>
      </c>
      <c r="T130" s="7">
        <f>K130*'Pesos finales'!$C$16+L130*'Pesos finales'!$C$17+M130*'Pesos finales'!$C$18+N130*'Pesos finales'!$C$19+O130*'Pesos finales'!$C$20+P130*'Pesos finales'!$C$21+Q130*'Pesos finales'!$C$22+R130*'Pesos finales'!$C$23+'Pesos finales'!$C$27</f>
        <v/>
      </c>
      <c r="U130" s="7">
        <f>K130*'Pesos finales'!$D$16+L130*'Pesos finales'!$D$17+M130*'Pesos finales'!$D$18+N130*'Pesos finales'!$D$19+O130*'Pesos finales'!$D$20+P130*'Pesos finales'!$D$21+Q130*'Pesos finales'!$D$22+R130*'Pesos finales'!$D$23+'Pesos finales'!$D$27</f>
        <v/>
      </c>
      <c r="V130" s="7">
        <f>EXP(S130)/(EXP(S130)+EXP(T130)+EXP(U130))</f>
        <v/>
      </c>
      <c r="W130" s="7">
        <f>EXP(T130)/(EXP(S130)+EXP(T130)+EXP(U130))</f>
        <v/>
      </c>
      <c r="X130" s="7">
        <f>EXP(U130)/(EXP(S130)+EXP(T130)+EXP(U130))</f>
        <v/>
      </c>
      <c r="Y130">
        <f>IF(AND(V130&gt;=W130,V130&gt;=X130),"Iris-setosa",IF(AND(W130&gt;=X130),"Iris-versicolor","Iris-virginica"))</f>
        <v/>
      </c>
      <c r="Z130" t="inlineStr">
        <is>
          <t>Iris-virginica</t>
        </is>
      </c>
      <c r="AA130">
        <f>IF(Y130=Z130,"Sí","No")</f>
        <v/>
      </c>
      <c r="AB130" s="7" t="n">
        <v>3.026621501764662e-05</v>
      </c>
      <c r="AC130" s="7" t="n">
        <v>0.08282024603547089</v>
      </c>
      <c r="AD130" s="7" t="n">
        <v>0.9171494877495115</v>
      </c>
      <c r="AE130" t="inlineStr">
        <is>
          <t>Iris-virginica</t>
        </is>
      </c>
      <c r="AF130" s="9">
        <f>MAX(ABS(V130-AB130),ABS(W130-AC130),ABS(X130-AD130))</f>
        <v/>
      </c>
      <c r="AG130">
        <f>IF(AND(Y130=AE130,AF130&lt;1E-9),"Sí","No")</f>
        <v/>
      </c>
    </row>
    <row r="131">
      <c r="A131" t="n">
        <v>125</v>
      </c>
      <c r="B131" t="inlineStr">
        <is>
          <t>entrenamiento</t>
        </is>
      </c>
      <c r="C131" t="n">
        <v>6.7</v>
      </c>
      <c r="D131" t="n">
        <v>3.3</v>
      </c>
      <c r="E131" t="n">
        <v>5.7</v>
      </c>
      <c r="F131" t="n">
        <v>2.1</v>
      </c>
      <c r="G131" s="7">
        <f>(C131-'Pesos finales'!$B$31)/'Pesos finales'!$B$32</f>
        <v/>
      </c>
      <c r="H131" s="7">
        <f>(D131-'Pesos finales'!$C$31)/'Pesos finales'!$C$32</f>
        <v/>
      </c>
      <c r="I131" s="7">
        <f>(E131-'Pesos finales'!$D$31)/'Pesos finales'!$D$32</f>
        <v/>
      </c>
      <c r="J131" s="7">
        <f>(F131-'Pesos finales'!$E$31)/'Pesos finales'!$E$32</f>
        <v/>
      </c>
      <c r="K131" s="7">
        <f>TANH(G131*'Pesos finales'!$B$5+H131*'Pesos finales'!$B$6+I131*'Pesos finales'!$B$7+J131*'Pesos finales'!$B$8+'Pesos finales'!$B$12)</f>
        <v/>
      </c>
      <c r="L131" s="7">
        <f>TANH(G131*'Pesos finales'!$C$5+H131*'Pesos finales'!$C$6+I131*'Pesos finales'!$C$7+J131*'Pesos finales'!$C$8+'Pesos finales'!$C$12)</f>
        <v/>
      </c>
      <c r="M131" s="7">
        <f>TANH(G131*'Pesos finales'!$D$5+H131*'Pesos finales'!$D$6+I131*'Pesos finales'!$D$7+J131*'Pesos finales'!$D$8+'Pesos finales'!$D$12)</f>
        <v/>
      </c>
      <c r="N131" s="7">
        <f>TANH(G131*'Pesos finales'!$E$5+H131*'Pesos finales'!$E$6+I131*'Pesos finales'!$E$7+J131*'Pesos finales'!$E$8+'Pesos finales'!$E$12)</f>
        <v/>
      </c>
      <c r="O131" s="7">
        <f>TANH(G131*'Pesos finales'!$F$5+H131*'Pesos finales'!$F$6+I131*'Pesos finales'!$F$7+J131*'Pesos finales'!$F$8+'Pesos finales'!$F$12)</f>
        <v/>
      </c>
      <c r="P131" s="7">
        <f>TANH(G131*'Pesos finales'!$G$5+H131*'Pesos finales'!$G$6+I131*'Pesos finales'!$G$7+J131*'Pesos finales'!$G$8+'Pesos finales'!$G$12)</f>
        <v/>
      </c>
      <c r="Q131" s="7">
        <f>TANH(G131*'Pesos finales'!$H$5+H131*'Pesos finales'!$H$6+I131*'Pesos finales'!$H$7+J131*'Pesos finales'!$H$8+'Pesos finales'!$H$12)</f>
        <v/>
      </c>
      <c r="R131" s="7">
        <f>TANH(G131*'Pesos finales'!$I$5+H131*'Pesos finales'!$I$6+I131*'Pesos finales'!$I$7+J131*'Pesos finales'!$I$8+'Pesos finales'!$I$12)</f>
        <v/>
      </c>
      <c r="S131" s="7">
        <f>K131*'Pesos finales'!$B$16+L131*'Pesos finales'!$B$17+M131*'Pesos finales'!$B$18+N131*'Pesos finales'!$B$19+O131*'Pesos finales'!$B$20+P131*'Pesos finales'!$B$21+Q131*'Pesos finales'!$B$22+R131*'Pesos finales'!$B$23+'Pesos finales'!$B$27</f>
        <v/>
      </c>
      <c r="T131" s="7">
        <f>K131*'Pesos finales'!$C$16+L131*'Pesos finales'!$C$17+M131*'Pesos finales'!$C$18+N131*'Pesos finales'!$C$19+O131*'Pesos finales'!$C$20+P131*'Pesos finales'!$C$21+Q131*'Pesos finales'!$C$22+R131*'Pesos finales'!$C$23+'Pesos finales'!$C$27</f>
        <v/>
      </c>
      <c r="U131" s="7">
        <f>K131*'Pesos finales'!$D$16+L131*'Pesos finales'!$D$17+M131*'Pesos finales'!$D$18+N131*'Pesos finales'!$D$19+O131*'Pesos finales'!$D$20+P131*'Pesos finales'!$D$21+Q131*'Pesos finales'!$D$22+R131*'Pesos finales'!$D$23+'Pesos finales'!$D$27</f>
        <v/>
      </c>
      <c r="V131" s="7">
        <f>EXP(S131)/(EXP(S131)+EXP(T131)+EXP(U131))</f>
        <v/>
      </c>
      <c r="W131" s="7">
        <f>EXP(T131)/(EXP(S131)+EXP(T131)+EXP(U131))</f>
        <v/>
      </c>
      <c r="X131" s="7">
        <f>EXP(U131)/(EXP(S131)+EXP(T131)+EXP(U131))</f>
        <v/>
      </c>
      <c r="Y131">
        <f>IF(AND(V131&gt;=W131,V131&gt;=X131),"Iris-setosa",IF(AND(W131&gt;=X131),"Iris-versicolor","Iris-virginica"))</f>
        <v/>
      </c>
      <c r="Z131" t="inlineStr">
        <is>
          <t>Iris-virginica</t>
        </is>
      </c>
      <c r="AA131">
        <f>IF(Y131=Z131,"Sí","No")</f>
        <v/>
      </c>
      <c r="AB131" s="7" t="n">
        <v>1.826206664667362e-06</v>
      </c>
      <c r="AC131" s="7" t="n">
        <v>0.003381100827182569</v>
      </c>
      <c r="AD131" s="7" t="n">
        <v>0.9966170729661528</v>
      </c>
      <c r="AE131" t="inlineStr">
        <is>
          <t>Iris-virginica</t>
        </is>
      </c>
      <c r="AF131" s="9">
        <f>MAX(ABS(V131-AB131),ABS(W131-AC131),ABS(X131-AD131))</f>
        <v/>
      </c>
      <c r="AG131">
        <f>IF(AND(Y131=AE131,AF131&lt;1E-9),"Sí","No")</f>
        <v/>
      </c>
    </row>
    <row r="132">
      <c r="A132" t="n">
        <v>126</v>
      </c>
      <c r="B132" t="inlineStr">
        <is>
          <t>entrenamiento</t>
        </is>
      </c>
      <c r="C132" t="n">
        <v>7.2</v>
      </c>
      <c r="D132" t="n">
        <v>3.2</v>
      </c>
      <c r="E132" t="n">
        <v>6</v>
      </c>
      <c r="F132" t="n">
        <v>1.8</v>
      </c>
      <c r="G132" s="7">
        <f>(C132-'Pesos finales'!$B$31)/'Pesos finales'!$B$32</f>
        <v/>
      </c>
      <c r="H132" s="7">
        <f>(D132-'Pesos finales'!$C$31)/'Pesos finales'!$C$32</f>
        <v/>
      </c>
      <c r="I132" s="7">
        <f>(E132-'Pesos finales'!$D$31)/'Pesos finales'!$D$32</f>
        <v/>
      </c>
      <c r="J132" s="7">
        <f>(F132-'Pesos finales'!$E$31)/'Pesos finales'!$E$32</f>
        <v/>
      </c>
      <c r="K132" s="7">
        <f>TANH(G132*'Pesos finales'!$B$5+H132*'Pesos finales'!$B$6+I132*'Pesos finales'!$B$7+J132*'Pesos finales'!$B$8+'Pesos finales'!$B$12)</f>
        <v/>
      </c>
      <c r="L132" s="7">
        <f>TANH(G132*'Pesos finales'!$C$5+H132*'Pesos finales'!$C$6+I132*'Pesos finales'!$C$7+J132*'Pesos finales'!$C$8+'Pesos finales'!$C$12)</f>
        <v/>
      </c>
      <c r="M132" s="7">
        <f>TANH(G132*'Pesos finales'!$D$5+H132*'Pesos finales'!$D$6+I132*'Pesos finales'!$D$7+J132*'Pesos finales'!$D$8+'Pesos finales'!$D$12)</f>
        <v/>
      </c>
      <c r="N132" s="7">
        <f>TANH(G132*'Pesos finales'!$E$5+H132*'Pesos finales'!$E$6+I132*'Pesos finales'!$E$7+J132*'Pesos finales'!$E$8+'Pesos finales'!$E$12)</f>
        <v/>
      </c>
      <c r="O132" s="7">
        <f>TANH(G132*'Pesos finales'!$F$5+H132*'Pesos finales'!$F$6+I132*'Pesos finales'!$F$7+J132*'Pesos finales'!$F$8+'Pesos finales'!$F$12)</f>
        <v/>
      </c>
      <c r="P132" s="7">
        <f>TANH(G132*'Pesos finales'!$G$5+H132*'Pesos finales'!$G$6+I132*'Pesos finales'!$G$7+J132*'Pesos finales'!$G$8+'Pesos finales'!$G$12)</f>
        <v/>
      </c>
      <c r="Q132" s="7">
        <f>TANH(G132*'Pesos finales'!$H$5+H132*'Pesos finales'!$H$6+I132*'Pesos finales'!$H$7+J132*'Pesos finales'!$H$8+'Pesos finales'!$H$12)</f>
        <v/>
      </c>
      <c r="R132" s="7">
        <f>TANH(G132*'Pesos finales'!$I$5+H132*'Pesos finales'!$I$6+I132*'Pesos finales'!$I$7+J132*'Pesos finales'!$I$8+'Pesos finales'!$I$12)</f>
        <v/>
      </c>
      <c r="S132" s="7">
        <f>K132*'Pesos finales'!$B$16+L132*'Pesos finales'!$B$17+M132*'Pesos finales'!$B$18+N132*'Pesos finales'!$B$19+O132*'Pesos finales'!$B$20+P132*'Pesos finales'!$B$21+Q132*'Pesos finales'!$B$22+R132*'Pesos finales'!$B$23+'Pesos finales'!$B$27</f>
        <v/>
      </c>
      <c r="T132" s="7">
        <f>K132*'Pesos finales'!$C$16+L132*'Pesos finales'!$C$17+M132*'Pesos finales'!$C$18+N132*'Pesos finales'!$C$19+O132*'Pesos finales'!$C$20+P132*'Pesos finales'!$C$21+Q132*'Pesos finales'!$C$22+R132*'Pesos finales'!$C$23+'Pesos finales'!$C$27</f>
        <v/>
      </c>
      <c r="U132" s="7">
        <f>K132*'Pesos finales'!$D$16+L132*'Pesos finales'!$D$17+M132*'Pesos finales'!$D$18+N132*'Pesos finales'!$D$19+O132*'Pesos finales'!$D$20+P132*'Pesos finales'!$D$21+Q132*'Pesos finales'!$D$22+R132*'Pesos finales'!$D$23+'Pesos finales'!$D$27</f>
        <v/>
      </c>
      <c r="V132" s="7">
        <f>EXP(S132)/(EXP(S132)+EXP(T132)+EXP(U132))</f>
        <v/>
      </c>
      <c r="W132" s="7">
        <f>EXP(T132)/(EXP(S132)+EXP(T132)+EXP(U132))</f>
        <v/>
      </c>
      <c r="X132" s="7">
        <f>EXP(U132)/(EXP(S132)+EXP(T132)+EXP(U132))</f>
        <v/>
      </c>
      <c r="Y132">
        <f>IF(AND(V132&gt;=W132,V132&gt;=X132),"Iris-setosa",IF(AND(W132&gt;=X132),"Iris-versicolor","Iris-virginica"))</f>
        <v/>
      </c>
      <c r="Z132" t="inlineStr">
        <is>
          <t>Iris-virginica</t>
        </is>
      </c>
      <c r="AA132">
        <f>IF(Y132=Z132,"Sí","No")</f>
        <v/>
      </c>
      <c r="AB132" s="7" t="n">
        <v>7.339937854379149e-06</v>
      </c>
      <c r="AC132" s="7" t="n">
        <v>0.01798888304804793</v>
      </c>
      <c r="AD132" s="7" t="n">
        <v>0.9820037770140978</v>
      </c>
      <c r="AE132" t="inlineStr">
        <is>
          <t>Iris-virginica</t>
        </is>
      </c>
      <c r="AF132" s="9">
        <f>MAX(ABS(V132-AB132),ABS(W132-AC132),ABS(X132-AD132))</f>
        <v/>
      </c>
      <c r="AG132">
        <f>IF(AND(Y132=AE132,AF132&lt;1E-9),"Sí","No")</f>
        <v/>
      </c>
    </row>
    <row r="133">
      <c r="A133" t="n">
        <v>127</v>
      </c>
      <c r="B133" t="inlineStr">
        <is>
          <t>entrenamiento</t>
        </is>
      </c>
      <c r="C133" t="n">
        <v>6.2</v>
      </c>
      <c r="D133" t="n">
        <v>2.8</v>
      </c>
      <c r="E133" t="n">
        <v>4.8</v>
      </c>
      <c r="F133" t="n">
        <v>1.8</v>
      </c>
      <c r="G133" s="7">
        <f>(C133-'Pesos finales'!$B$31)/'Pesos finales'!$B$32</f>
        <v/>
      </c>
      <c r="H133" s="7">
        <f>(D133-'Pesos finales'!$C$31)/'Pesos finales'!$C$32</f>
        <v/>
      </c>
      <c r="I133" s="7">
        <f>(E133-'Pesos finales'!$D$31)/'Pesos finales'!$D$32</f>
        <v/>
      </c>
      <c r="J133" s="7">
        <f>(F133-'Pesos finales'!$E$31)/'Pesos finales'!$E$32</f>
        <v/>
      </c>
      <c r="K133" s="7">
        <f>TANH(G133*'Pesos finales'!$B$5+H133*'Pesos finales'!$B$6+I133*'Pesos finales'!$B$7+J133*'Pesos finales'!$B$8+'Pesos finales'!$B$12)</f>
        <v/>
      </c>
      <c r="L133" s="7">
        <f>TANH(G133*'Pesos finales'!$C$5+H133*'Pesos finales'!$C$6+I133*'Pesos finales'!$C$7+J133*'Pesos finales'!$C$8+'Pesos finales'!$C$12)</f>
        <v/>
      </c>
      <c r="M133" s="7">
        <f>TANH(G133*'Pesos finales'!$D$5+H133*'Pesos finales'!$D$6+I133*'Pesos finales'!$D$7+J133*'Pesos finales'!$D$8+'Pesos finales'!$D$12)</f>
        <v/>
      </c>
      <c r="N133" s="7">
        <f>TANH(G133*'Pesos finales'!$E$5+H133*'Pesos finales'!$E$6+I133*'Pesos finales'!$E$7+J133*'Pesos finales'!$E$8+'Pesos finales'!$E$12)</f>
        <v/>
      </c>
      <c r="O133" s="7">
        <f>TANH(G133*'Pesos finales'!$F$5+H133*'Pesos finales'!$F$6+I133*'Pesos finales'!$F$7+J133*'Pesos finales'!$F$8+'Pesos finales'!$F$12)</f>
        <v/>
      </c>
      <c r="P133" s="7">
        <f>TANH(G133*'Pesos finales'!$G$5+H133*'Pesos finales'!$G$6+I133*'Pesos finales'!$G$7+J133*'Pesos finales'!$G$8+'Pesos finales'!$G$12)</f>
        <v/>
      </c>
      <c r="Q133" s="7">
        <f>TANH(G133*'Pesos finales'!$H$5+H133*'Pesos finales'!$H$6+I133*'Pesos finales'!$H$7+J133*'Pesos finales'!$H$8+'Pesos finales'!$H$12)</f>
        <v/>
      </c>
      <c r="R133" s="7">
        <f>TANH(G133*'Pesos finales'!$I$5+H133*'Pesos finales'!$I$6+I133*'Pesos finales'!$I$7+J133*'Pesos finales'!$I$8+'Pesos finales'!$I$12)</f>
        <v/>
      </c>
      <c r="S133" s="7">
        <f>K133*'Pesos finales'!$B$16+L133*'Pesos finales'!$B$17+M133*'Pesos finales'!$B$18+N133*'Pesos finales'!$B$19+O133*'Pesos finales'!$B$20+P133*'Pesos finales'!$B$21+Q133*'Pesos finales'!$B$22+R133*'Pesos finales'!$B$23+'Pesos finales'!$B$27</f>
        <v/>
      </c>
      <c r="T133" s="7">
        <f>K133*'Pesos finales'!$C$16+L133*'Pesos finales'!$C$17+M133*'Pesos finales'!$C$18+N133*'Pesos finales'!$C$19+O133*'Pesos finales'!$C$20+P133*'Pesos finales'!$C$21+Q133*'Pesos finales'!$C$22+R133*'Pesos finales'!$C$23+'Pesos finales'!$C$27</f>
        <v/>
      </c>
      <c r="U133" s="7">
        <f>K133*'Pesos finales'!$D$16+L133*'Pesos finales'!$D$17+M133*'Pesos finales'!$D$18+N133*'Pesos finales'!$D$19+O133*'Pesos finales'!$D$20+P133*'Pesos finales'!$D$21+Q133*'Pesos finales'!$D$22+R133*'Pesos finales'!$D$23+'Pesos finales'!$D$27</f>
        <v/>
      </c>
      <c r="V133" s="7">
        <f>EXP(S133)/(EXP(S133)+EXP(T133)+EXP(U133))</f>
        <v/>
      </c>
      <c r="W133" s="7">
        <f>EXP(T133)/(EXP(S133)+EXP(T133)+EXP(U133))</f>
        <v/>
      </c>
      <c r="X133" s="7">
        <f>EXP(U133)/(EXP(S133)+EXP(T133)+EXP(U133))</f>
        <v/>
      </c>
      <c r="Y133">
        <f>IF(AND(V133&gt;=W133,V133&gt;=X133),"Iris-setosa",IF(AND(W133&gt;=X133),"Iris-versicolor","Iris-virginica"))</f>
        <v/>
      </c>
      <c r="Z133" t="inlineStr">
        <is>
          <t>Iris-virginica</t>
        </is>
      </c>
      <c r="AA133">
        <f>IF(Y133=Z133,"Sí","No")</f>
        <v/>
      </c>
      <c r="AB133" s="7" t="n">
        <v>7.042704366869837e-05</v>
      </c>
      <c r="AC133" s="7" t="n">
        <v>0.1662184295167628</v>
      </c>
      <c r="AD133" s="7" t="n">
        <v>0.8337111434395685</v>
      </c>
      <c r="AE133" t="inlineStr">
        <is>
          <t>Iris-virginica</t>
        </is>
      </c>
      <c r="AF133" s="9">
        <f>MAX(ABS(V133-AB133),ABS(W133-AC133),ABS(X133-AD133))</f>
        <v/>
      </c>
      <c r="AG133">
        <f>IF(AND(Y133=AE133,AF133&lt;1E-9),"Sí","No")</f>
        <v/>
      </c>
    </row>
    <row r="134">
      <c r="A134" t="n">
        <v>128</v>
      </c>
      <c r="B134" t="inlineStr">
        <is>
          <t>entrenamiento</t>
        </is>
      </c>
      <c r="C134" t="n">
        <v>6.1</v>
      </c>
      <c r="D134" t="n">
        <v>3</v>
      </c>
      <c r="E134" t="n">
        <v>4.9</v>
      </c>
      <c r="F134" t="n">
        <v>1.8</v>
      </c>
      <c r="G134" s="7">
        <f>(C134-'Pesos finales'!$B$31)/'Pesos finales'!$B$32</f>
        <v/>
      </c>
      <c r="H134" s="7">
        <f>(D134-'Pesos finales'!$C$31)/'Pesos finales'!$C$32</f>
        <v/>
      </c>
      <c r="I134" s="7">
        <f>(E134-'Pesos finales'!$D$31)/'Pesos finales'!$D$32</f>
        <v/>
      </c>
      <c r="J134" s="7">
        <f>(F134-'Pesos finales'!$E$31)/'Pesos finales'!$E$32</f>
        <v/>
      </c>
      <c r="K134" s="7">
        <f>TANH(G134*'Pesos finales'!$B$5+H134*'Pesos finales'!$B$6+I134*'Pesos finales'!$B$7+J134*'Pesos finales'!$B$8+'Pesos finales'!$B$12)</f>
        <v/>
      </c>
      <c r="L134" s="7">
        <f>TANH(G134*'Pesos finales'!$C$5+H134*'Pesos finales'!$C$6+I134*'Pesos finales'!$C$7+J134*'Pesos finales'!$C$8+'Pesos finales'!$C$12)</f>
        <v/>
      </c>
      <c r="M134" s="7">
        <f>TANH(G134*'Pesos finales'!$D$5+H134*'Pesos finales'!$D$6+I134*'Pesos finales'!$D$7+J134*'Pesos finales'!$D$8+'Pesos finales'!$D$12)</f>
        <v/>
      </c>
      <c r="N134" s="7">
        <f>TANH(G134*'Pesos finales'!$E$5+H134*'Pesos finales'!$E$6+I134*'Pesos finales'!$E$7+J134*'Pesos finales'!$E$8+'Pesos finales'!$E$12)</f>
        <v/>
      </c>
      <c r="O134" s="7">
        <f>TANH(G134*'Pesos finales'!$F$5+H134*'Pesos finales'!$F$6+I134*'Pesos finales'!$F$7+J134*'Pesos finales'!$F$8+'Pesos finales'!$F$12)</f>
        <v/>
      </c>
      <c r="P134" s="7">
        <f>TANH(G134*'Pesos finales'!$G$5+H134*'Pesos finales'!$G$6+I134*'Pesos finales'!$G$7+J134*'Pesos finales'!$G$8+'Pesos finales'!$G$12)</f>
        <v/>
      </c>
      <c r="Q134" s="7">
        <f>TANH(G134*'Pesos finales'!$H$5+H134*'Pesos finales'!$H$6+I134*'Pesos finales'!$H$7+J134*'Pesos finales'!$H$8+'Pesos finales'!$H$12)</f>
        <v/>
      </c>
      <c r="R134" s="7">
        <f>TANH(G134*'Pesos finales'!$I$5+H134*'Pesos finales'!$I$6+I134*'Pesos finales'!$I$7+J134*'Pesos finales'!$I$8+'Pesos finales'!$I$12)</f>
        <v/>
      </c>
      <c r="S134" s="7">
        <f>K134*'Pesos finales'!$B$16+L134*'Pesos finales'!$B$17+M134*'Pesos finales'!$B$18+N134*'Pesos finales'!$B$19+O134*'Pesos finales'!$B$20+P134*'Pesos finales'!$B$21+Q134*'Pesos finales'!$B$22+R134*'Pesos finales'!$B$23+'Pesos finales'!$B$27</f>
        <v/>
      </c>
      <c r="T134" s="7">
        <f>K134*'Pesos finales'!$C$16+L134*'Pesos finales'!$C$17+M134*'Pesos finales'!$C$18+N134*'Pesos finales'!$C$19+O134*'Pesos finales'!$C$20+P134*'Pesos finales'!$C$21+Q134*'Pesos finales'!$C$22+R134*'Pesos finales'!$C$23+'Pesos finales'!$C$27</f>
        <v/>
      </c>
      <c r="U134" s="7">
        <f>K134*'Pesos finales'!$D$16+L134*'Pesos finales'!$D$17+M134*'Pesos finales'!$D$18+N134*'Pesos finales'!$D$19+O134*'Pesos finales'!$D$20+P134*'Pesos finales'!$D$21+Q134*'Pesos finales'!$D$22+R134*'Pesos finales'!$D$23+'Pesos finales'!$D$27</f>
        <v/>
      </c>
      <c r="V134" s="7">
        <f>EXP(S134)/(EXP(S134)+EXP(T134)+EXP(U134))</f>
        <v/>
      </c>
      <c r="W134" s="7">
        <f>EXP(T134)/(EXP(S134)+EXP(T134)+EXP(U134))</f>
        <v/>
      </c>
      <c r="X134" s="7">
        <f>EXP(U134)/(EXP(S134)+EXP(T134)+EXP(U134))</f>
        <v/>
      </c>
      <c r="Y134">
        <f>IF(AND(V134&gt;=W134,V134&gt;=X134),"Iris-setosa",IF(AND(W134&gt;=X134),"Iris-versicolor","Iris-virginica"))</f>
        <v/>
      </c>
      <c r="Z134" t="inlineStr">
        <is>
          <t>Iris-virginica</t>
        </is>
      </c>
      <c r="AA134">
        <f>IF(Y134=Z134,"Sí","No")</f>
        <v/>
      </c>
      <c r="AB134" s="7" t="n">
        <v>0.0001406015638156265</v>
      </c>
      <c r="AC134" s="7" t="n">
        <v>0.2283066286188162</v>
      </c>
      <c r="AD134" s="7" t="n">
        <v>0.7715527698173682</v>
      </c>
      <c r="AE134" t="inlineStr">
        <is>
          <t>Iris-virginica</t>
        </is>
      </c>
      <c r="AF134" s="9">
        <f>MAX(ABS(V134-AB134),ABS(W134-AC134),ABS(X134-AD134))</f>
        <v/>
      </c>
      <c r="AG134">
        <f>IF(AND(Y134=AE134,AF134&lt;1E-9),"Sí","No")</f>
        <v/>
      </c>
    </row>
    <row r="135">
      <c r="A135" t="n">
        <v>129</v>
      </c>
      <c r="B135" t="inlineStr">
        <is>
          <t>entrenamiento</t>
        </is>
      </c>
      <c r="C135" t="n">
        <v>6.4</v>
      </c>
      <c r="D135" t="n">
        <v>2.8</v>
      </c>
      <c r="E135" t="n">
        <v>5.6</v>
      </c>
      <c r="F135" t="n">
        <v>2.1</v>
      </c>
      <c r="G135" s="7">
        <f>(C135-'Pesos finales'!$B$31)/'Pesos finales'!$B$32</f>
        <v/>
      </c>
      <c r="H135" s="7">
        <f>(D135-'Pesos finales'!$C$31)/'Pesos finales'!$C$32</f>
        <v/>
      </c>
      <c r="I135" s="7">
        <f>(E135-'Pesos finales'!$D$31)/'Pesos finales'!$D$32</f>
        <v/>
      </c>
      <c r="J135" s="7">
        <f>(F135-'Pesos finales'!$E$31)/'Pesos finales'!$E$32</f>
        <v/>
      </c>
      <c r="K135" s="7">
        <f>TANH(G135*'Pesos finales'!$B$5+H135*'Pesos finales'!$B$6+I135*'Pesos finales'!$B$7+J135*'Pesos finales'!$B$8+'Pesos finales'!$B$12)</f>
        <v/>
      </c>
      <c r="L135" s="7">
        <f>TANH(G135*'Pesos finales'!$C$5+H135*'Pesos finales'!$C$6+I135*'Pesos finales'!$C$7+J135*'Pesos finales'!$C$8+'Pesos finales'!$C$12)</f>
        <v/>
      </c>
      <c r="M135" s="7">
        <f>TANH(G135*'Pesos finales'!$D$5+H135*'Pesos finales'!$D$6+I135*'Pesos finales'!$D$7+J135*'Pesos finales'!$D$8+'Pesos finales'!$D$12)</f>
        <v/>
      </c>
      <c r="N135" s="7">
        <f>TANH(G135*'Pesos finales'!$E$5+H135*'Pesos finales'!$E$6+I135*'Pesos finales'!$E$7+J135*'Pesos finales'!$E$8+'Pesos finales'!$E$12)</f>
        <v/>
      </c>
      <c r="O135" s="7">
        <f>TANH(G135*'Pesos finales'!$F$5+H135*'Pesos finales'!$F$6+I135*'Pesos finales'!$F$7+J135*'Pesos finales'!$F$8+'Pesos finales'!$F$12)</f>
        <v/>
      </c>
      <c r="P135" s="7">
        <f>TANH(G135*'Pesos finales'!$G$5+H135*'Pesos finales'!$G$6+I135*'Pesos finales'!$G$7+J135*'Pesos finales'!$G$8+'Pesos finales'!$G$12)</f>
        <v/>
      </c>
      <c r="Q135" s="7">
        <f>TANH(G135*'Pesos finales'!$H$5+H135*'Pesos finales'!$H$6+I135*'Pesos finales'!$H$7+J135*'Pesos finales'!$H$8+'Pesos finales'!$H$12)</f>
        <v/>
      </c>
      <c r="R135" s="7">
        <f>TANH(G135*'Pesos finales'!$I$5+H135*'Pesos finales'!$I$6+I135*'Pesos finales'!$I$7+J135*'Pesos finales'!$I$8+'Pesos finales'!$I$12)</f>
        <v/>
      </c>
      <c r="S135" s="7">
        <f>K135*'Pesos finales'!$B$16+L135*'Pesos finales'!$B$17+M135*'Pesos finales'!$B$18+N135*'Pesos finales'!$B$19+O135*'Pesos finales'!$B$20+P135*'Pesos finales'!$B$21+Q135*'Pesos finales'!$B$22+R135*'Pesos finales'!$B$23+'Pesos finales'!$B$27</f>
        <v/>
      </c>
      <c r="T135" s="7">
        <f>K135*'Pesos finales'!$C$16+L135*'Pesos finales'!$C$17+M135*'Pesos finales'!$C$18+N135*'Pesos finales'!$C$19+O135*'Pesos finales'!$C$20+P135*'Pesos finales'!$C$21+Q135*'Pesos finales'!$C$22+R135*'Pesos finales'!$C$23+'Pesos finales'!$C$27</f>
        <v/>
      </c>
      <c r="U135" s="7">
        <f>K135*'Pesos finales'!$D$16+L135*'Pesos finales'!$D$17+M135*'Pesos finales'!$D$18+N135*'Pesos finales'!$D$19+O135*'Pesos finales'!$D$20+P135*'Pesos finales'!$D$21+Q135*'Pesos finales'!$D$22+R135*'Pesos finales'!$D$23+'Pesos finales'!$D$27</f>
        <v/>
      </c>
      <c r="V135" s="7">
        <f>EXP(S135)/(EXP(S135)+EXP(T135)+EXP(U135))</f>
        <v/>
      </c>
      <c r="W135" s="7">
        <f>EXP(T135)/(EXP(S135)+EXP(T135)+EXP(U135))</f>
        <v/>
      </c>
      <c r="X135" s="7">
        <f>EXP(U135)/(EXP(S135)+EXP(T135)+EXP(U135))</f>
        <v/>
      </c>
      <c r="Y135">
        <f>IF(AND(V135&gt;=W135,V135&gt;=X135),"Iris-setosa",IF(AND(W135&gt;=X135),"Iris-versicolor","Iris-virginica"))</f>
        <v/>
      </c>
      <c r="Z135" t="inlineStr">
        <is>
          <t>Iris-virginica</t>
        </is>
      </c>
      <c r="AA135">
        <f>IF(Y135=Z135,"Sí","No")</f>
        <v/>
      </c>
      <c r="AB135" s="7" t="n">
        <v>5.100134967912347e-07</v>
      </c>
      <c r="AC135" s="7" t="n">
        <v>0.001165331001844789</v>
      </c>
      <c r="AD135" s="7" t="n">
        <v>0.9988341589846584</v>
      </c>
      <c r="AE135" t="inlineStr">
        <is>
          <t>Iris-virginica</t>
        </is>
      </c>
      <c r="AF135" s="9">
        <f>MAX(ABS(V135-AB135),ABS(W135-AC135),ABS(X135-AD135))</f>
        <v/>
      </c>
      <c r="AG135">
        <f>IF(AND(Y135=AE135,AF135&lt;1E-9),"Sí","No")</f>
        <v/>
      </c>
    </row>
    <row r="136">
      <c r="A136" t="n">
        <v>130</v>
      </c>
      <c r="B136" t="inlineStr">
        <is>
          <t>prueba</t>
        </is>
      </c>
      <c r="C136" t="n">
        <v>7.2</v>
      </c>
      <c r="D136" t="n">
        <v>3</v>
      </c>
      <c r="E136" t="n">
        <v>5.8</v>
      </c>
      <c r="F136" t="n">
        <v>1.6</v>
      </c>
      <c r="G136" s="7">
        <f>(C136-'Pesos finales'!$B$31)/'Pesos finales'!$B$32</f>
        <v/>
      </c>
      <c r="H136" s="7">
        <f>(D136-'Pesos finales'!$C$31)/'Pesos finales'!$C$32</f>
        <v/>
      </c>
      <c r="I136" s="7">
        <f>(E136-'Pesos finales'!$D$31)/'Pesos finales'!$D$32</f>
        <v/>
      </c>
      <c r="J136" s="7">
        <f>(F136-'Pesos finales'!$E$31)/'Pesos finales'!$E$32</f>
        <v/>
      </c>
      <c r="K136" s="7">
        <f>TANH(G136*'Pesos finales'!$B$5+H136*'Pesos finales'!$B$6+I136*'Pesos finales'!$B$7+J136*'Pesos finales'!$B$8+'Pesos finales'!$B$12)</f>
        <v/>
      </c>
      <c r="L136" s="7">
        <f>TANH(G136*'Pesos finales'!$C$5+H136*'Pesos finales'!$C$6+I136*'Pesos finales'!$C$7+J136*'Pesos finales'!$C$8+'Pesos finales'!$C$12)</f>
        <v/>
      </c>
      <c r="M136" s="7">
        <f>TANH(G136*'Pesos finales'!$D$5+H136*'Pesos finales'!$D$6+I136*'Pesos finales'!$D$7+J136*'Pesos finales'!$D$8+'Pesos finales'!$D$12)</f>
        <v/>
      </c>
      <c r="N136" s="7">
        <f>TANH(G136*'Pesos finales'!$E$5+H136*'Pesos finales'!$E$6+I136*'Pesos finales'!$E$7+J136*'Pesos finales'!$E$8+'Pesos finales'!$E$12)</f>
        <v/>
      </c>
      <c r="O136" s="7">
        <f>TANH(G136*'Pesos finales'!$F$5+H136*'Pesos finales'!$F$6+I136*'Pesos finales'!$F$7+J136*'Pesos finales'!$F$8+'Pesos finales'!$F$12)</f>
        <v/>
      </c>
      <c r="P136" s="7">
        <f>TANH(G136*'Pesos finales'!$G$5+H136*'Pesos finales'!$G$6+I136*'Pesos finales'!$G$7+J136*'Pesos finales'!$G$8+'Pesos finales'!$G$12)</f>
        <v/>
      </c>
      <c r="Q136" s="7">
        <f>TANH(G136*'Pesos finales'!$H$5+H136*'Pesos finales'!$H$6+I136*'Pesos finales'!$H$7+J136*'Pesos finales'!$H$8+'Pesos finales'!$H$12)</f>
        <v/>
      </c>
      <c r="R136" s="7">
        <f>TANH(G136*'Pesos finales'!$I$5+H136*'Pesos finales'!$I$6+I136*'Pesos finales'!$I$7+J136*'Pesos finales'!$I$8+'Pesos finales'!$I$12)</f>
        <v/>
      </c>
      <c r="S136" s="7">
        <f>K136*'Pesos finales'!$B$16+L136*'Pesos finales'!$B$17+M136*'Pesos finales'!$B$18+N136*'Pesos finales'!$B$19+O136*'Pesos finales'!$B$20+P136*'Pesos finales'!$B$21+Q136*'Pesos finales'!$B$22+R136*'Pesos finales'!$B$23+'Pesos finales'!$B$27</f>
        <v/>
      </c>
      <c r="T136" s="7">
        <f>K136*'Pesos finales'!$C$16+L136*'Pesos finales'!$C$17+M136*'Pesos finales'!$C$18+N136*'Pesos finales'!$C$19+O136*'Pesos finales'!$C$20+P136*'Pesos finales'!$C$21+Q136*'Pesos finales'!$C$22+R136*'Pesos finales'!$C$23+'Pesos finales'!$C$27</f>
        <v/>
      </c>
      <c r="U136" s="7">
        <f>K136*'Pesos finales'!$D$16+L136*'Pesos finales'!$D$17+M136*'Pesos finales'!$D$18+N136*'Pesos finales'!$D$19+O136*'Pesos finales'!$D$20+P136*'Pesos finales'!$D$21+Q136*'Pesos finales'!$D$22+R136*'Pesos finales'!$D$23+'Pesos finales'!$D$27</f>
        <v/>
      </c>
      <c r="V136" s="7">
        <f>EXP(S136)/(EXP(S136)+EXP(T136)+EXP(U136))</f>
        <v/>
      </c>
      <c r="W136" s="7">
        <f>EXP(T136)/(EXP(S136)+EXP(T136)+EXP(U136))</f>
        <v/>
      </c>
      <c r="X136" s="7">
        <f>EXP(U136)/(EXP(S136)+EXP(T136)+EXP(U136))</f>
        <v/>
      </c>
      <c r="Y136">
        <f>IF(AND(V136&gt;=W136,V136&gt;=X136),"Iris-setosa",IF(AND(W136&gt;=X136),"Iris-versicolor","Iris-virginica"))</f>
        <v/>
      </c>
      <c r="Z136" t="inlineStr">
        <is>
          <t>Iris-virginica</t>
        </is>
      </c>
      <c r="AA136">
        <f>IF(Y136=Z136,"Sí","No")</f>
        <v/>
      </c>
      <c r="AB136" s="7" t="n">
        <v>5.622733041668127e-05</v>
      </c>
      <c r="AC136" s="7" t="n">
        <v>0.1821617970074206</v>
      </c>
      <c r="AD136" s="7" t="n">
        <v>0.8177819756621628</v>
      </c>
      <c r="AE136" t="inlineStr">
        <is>
          <t>Iris-virginica</t>
        </is>
      </c>
      <c r="AF136" s="9">
        <f>MAX(ABS(V136-AB136),ABS(W136-AC136),ABS(X136-AD136))</f>
        <v/>
      </c>
      <c r="AG136">
        <f>IF(AND(Y136=AE136,AF136&lt;1E-9),"Sí","No")</f>
        <v/>
      </c>
    </row>
    <row r="137">
      <c r="A137" t="n">
        <v>131</v>
      </c>
      <c r="B137" t="inlineStr">
        <is>
          <t>prueba</t>
        </is>
      </c>
      <c r="C137" t="n">
        <v>7.4</v>
      </c>
      <c r="D137" t="n">
        <v>2.8</v>
      </c>
      <c r="E137" t="n">
        <v>6.1</v>
      </c>
      <c r="F137" t="n">
        <v>1.9</v>
      </c>
      <c r="G137" s="7">
        <f>(C137-'Pesos finales'!$B$31)/'Pesos finales'!$B$32</f>
        <v/>
      </c>
      <c r="H137" s="7">
        <f>(D137-'Pesos finales'!$C$31)/'Pesos finales'!$C$32</f>
        <v/>
      </c>
      <c r="I137" s="7">
        <f>(E137-'Pesos finales'!$D$31)/'Pesos finales'!$D$32</f>
        <v/>
      </c>
      <c r="J137" s="7">
        <f>(F137-'Pesos finales'!$E$31)/'Pesos finales'!$E$32</f>
        <v/>
      </c>
      <c r="K137" s="7">
        <f>TANH(G137*'Pesos finales'!$B$5+H137*'Pesos finales'!$B$6+I137*'Pesos finales'!$B$7+J137*'Pesos finales'!$B$8+'Pesos finales'!$B$12)</f>
        <v/>
      </c>
      <c r="L137" s="7">
        <f>TANH(G137*'Pesos finales'!$C$5+H137*'Pesos finales'!$C$6+I137*'Pesos finales'!$C$7+J137*'Pesos finales'!$C$8+'Pesos finales'!$C$12)</f>
        <v/>
      </c>
      <c r="M137" s="7">
        <f>TANH(G137*'Pesos finales'!$D$5+H137*'Pesos finales'!$D$6+I137*'Pesos finales'!$D$7+J137*'Pesos finales'!$D$8+'Pesos finales'!$D$12)</f>
        <v/>
      </c>
      <c r="N137" s="7">
        <f>TANH(G137*'Pesos finales'!$E$5+H137*'Pesos finales'!$E$6+I137*'Pesos finales'!$E$7+J137*'Pesos finales'!$E$8+'Pesos finales'!$E$12)</f>
        <v/>
      </c>
      <c r="O137" s="7">
        <f>TANH(G137*'Pesos finales'!$F$5+H137*'Pesos finales'!$F$6+I137*'Pesos finales'!$F$7+J137*'Pesos finales'!$F$8+'Pesos finales'!$F$12)</f>
        <v/>
      </c>
      <c r="P137" s="7">
        <f>TANH(G137*'Pesos finales'!$G$5+H137*'Pesos finales'!$G$6+I137*'Pesos finales'!$G$7+J137*'Pesos finales'!$G$8+'Pesos finales'!$G$12)</f>
        <v/>
      </c>
      <c r="Q137" s="7">
        <f>TANH(G137*'Pesos finales'!$H$5+H137*'Pesos finales'!$H$6+I137*'Pesos finales'!$H$7+J137*'Pesos finales'!$H$8+'Pesos finales'!$H$12)</f>
        <v/>
      </c>
      <c r="R137" s="7">
        <f>TANH(G137*'Pesos finales'!$I$5+H137*'Pesos finales'!$I$6+I137*'Pesos finales'!$I$7+J137*'Pesos finales'!$I$8+'Pesos finales'!$I$12)</f>
        <v/>
      </c>
      <c r="S137" s="7">
        <f>K137*'Pesos finales'!$B$16+L137*'Pesos finales'!$B$17+M137*'Pesos finales'!$B$18+N137*'Pesos finales'!$B$19+O137*'Pesos finales'!$B$20+P137*'Pesos finales'!$B$21+Q137*'Pesos finales'!$B$22+R137*'Pesos finales'!$B$23+'Pesos finales'!$B$27</f>
        <v/>
      </c>
      <c r="T137" s="7">
        <f>K137*'Pesos finales'!$C$16+L137*'Pesos finales'!$C$17+M137*'Pesos finales'!$C$18+N137*'Pesos finales'!$C$19+O137*'Pesos finales'!$C$20+P137*'Pesos finales'!$C$21+Q137*'Pesos finales'!$C$22+R137*'Pesos finales'!$C$23+'Pesos finales'!$C$27</f>
        <v/>
      </c>
      <c r="U137" s="7">
        <f>K137*'Pesos finales'!$D$16+L137*'Pesos finales'!$D$17+M137*'Pesos finales'!$D$18+N137*'Pesos finales'!$D$19+O137*'Pesos finales'!$D$20+P137*'Pesos finales'!$D$21+Q137*'Pesos finales'!$D$22+R137*'Pesos finales'!$D$23+'Pesos finales'!$D$27</f>
        <v/>
      </c>
      <c r="V137" s="7">
        <f>EXP(S137)/(EXP(S137)+EXP(T137)+EXP(U137))</f>
        <v/>
      </c>
      <c r="W137" s="7">
        <f>EXP(T137)/(EXP(S137)+EXP(T137)+EXP(U137))</f>
        <v/>
      </c>
      <c r="X137" s="7">
        <f>EXP(U137)/(EXP(S137)+EXP(T137)+EXP(U137))</f>
        <v/>
      </c>
      <c r="Y137">
        <f>IF(AND(V137&gt;=W137,V137&gt;=X137),"Iris-setosa",IF(AND(W137&gt;=X137),"Iris-versicolor","Iris-virginica"))</f>
        <v/>
      </c>
      <c r="Z137" t="inlineStr">
        <is>
          <t>Iris-virginica</t>
        </is>
      </c>
      <c r="AA137">
        <f>IF(Y137=Z137,"Sí","No")</f>
        <v/>
      </c>
      <c r="AB137" s="7" t="n">
        <v>1.220771860473379e-06</v>
      </c>
      <c r="AC137" s="7" t="n">
        <v>0.003874211837135833</v>
      </c>
      <c r="AD137" s="7" t="n">
        <v>0.9961245673910036</v>
      </c>
      <c r="AE137" t="inlineStr">
        <is>
          <t>Iris-virginica</t>
        </is>
      </c>
      <c r="AF137" s="9">
        <f>MAX(ABS(V137-AB137),ABS(W137-AC137),ABS(X137-AD137))</f>
        <v/>
      </c>
      <c r="AG137">
        <f>IF(AND(Y137=AE137,AF137&lt;1E-9),"Sí","No")</f>
        <v/>
      </c>
    </row>
    <row r="138">
      <c r="A138" t="n">
        <v>132</v>
      </c>
      <c r="B138" t="inlineStr">
        <is>
          <t>entrenamiento</t>
        </is>
      </c>
      <c r="C138" t="n">
        <v>7.9</v>
      </c>
      <c r="D138" t="n">
        <v>3.8</v>
      </c>
      <c r="E138" t="n">
        <v>6.4</v>
      </c>
      <c r="F138" t="n">
        <v>2</v>
      </c>
      <c r="G138" s="7">
        <f>(C138-'Pesos finales'!$B$31)/'Pesos finales'!$B$32</f>
        <v/>
      </c>
      <c r="H138" s="7">
        <f>(D138-'Pesos finales'!$C$31)/'Pesos finales'!$C$32</f>
        <v/>
      </c>
      <c r="I138" s="7">
        <f>(E138-'Pesos finales'!$D$31)/'Pesos finales'!$D$32</f>
        <v/>
      </c>
      <c r="J138" s="7">
        <f>(F138-'Pesos finales'!$E$31)/'Pesos finales'!$E$32</f>
        <v/>
      </c>
      <c r="K138" s="7">
        <f>TANH(G138*'Pesos finales'!$B$5+H138*'Pesos finales'!$B$6+I138*'Pesos finales'!$B$7+J138*'Pesos finales'!$B$8+'Pesos finales'!$B$12)</f>
        <v/>
      </c>
      <c r="L138" s="7">
        <f>TANH(G138*'Pesos finales'!$C$5+H138*'Pesos finales'!$C$6+I138*'Pesos finales'!$C$7+J138*'Pesos finales'!$C$8+'Pesos finales'!$C$12)</f>
        <v/>
      </c>
      <c r="M138" s="7">
        <f>TANH(G138*'Pesos finales'!$D$5+H138*'Pesos finales'!$D$6+I138*'Pesos finales'!$D$7+J138*'Pesos finales'!$D$8+'Pesos finales'!$D$12)</f>
        <v/>
      </c>
      <c r="N138" s="7">
        <f>TANH(G138*'Pesos finales'!$E$5+H138*'Pesos finales'!$E$6+I138*'Pesos finales'!$E$7+J138*'Pesos finales'!$E$8+'Pesos finales'!$E$12)</f>
        <v/>
      </c>
      <c r="O138" s="7">
        <f>TANH(G138*'Pesos finales'!$F$5+H138*'Pesos finales'!$F$6+I138*'Pesos finales'!$F$7+J138*'Pesos finales'!$F$8+'Pesos finales'!$F$12)</f>
        <v/>
      </c>
      <c r="P138" s="7">
        <f>TANH(G138*'Pesos finales'!$G$5+H138*'Pesos finales'!$G$6+I138*'Pesos finales'!$G$7+J138*'Pesos finales'!$G$8+'Pesos finales'!$G$12)</f>
        <v/>
      </c>
      <c r="Q138" s="7">
        <f>TANH(G138*'Pesos finales'!$H$5+H138*'Pesos finales'!$H$6+I138*'Pesos finales'!$H$7+J138*'Pesos finales'!$H$8+'Pesos finales'!$H$12)</f>
        <v/>
      </c>
      <c r="R138" s="7">
        <f>TANH(G138*'Pesos finales'!$I$5+H138*'Pesos finales'!$I$6+I138*'Pesos finales'!$I$7+J138*'Pesos finales'!$I$8+'Pesos finales'!$I$12)</f>
        <v/>
      </c>
      <c r="S138" s="7">
        <f>K138*'Pesos finales'!$B$16+L138*'Pesos finales'!$B$17+M138*'Pesos finales'!$B$18+N138*'Pesos finales'!$B$19+O138*'Pesos finales'!$B$20+P138*'Pesos finales'!$B$21+Q138*'Pesos finales'!$B$22+R138*'Pesos finales'!$B$23+'Pesos finales'!$B$27</f>
        <v/>
      </c>
      <c r="T138" s="7">
        <f>K138*'Pesos finales'!$C$16+L138*'Pesos finales'!$C$17+M138*'Pesos finales'!$C$18+N138*'Pesos finales'!$C$19+O138*'Pesos finales'!$C$20+P138*'Pesos finales'!$C$21+Q138*'Pesos finales'!$C$22+R138*'Pesos finales'!$C$23+'Pesos finales'!$C$27</f>
        <v/>
      </c>
      <c r="U138" s="7">
        <f>K138*'Pesos finales'!$D$16+L138*'Pesos finales'!$D$17+M138*'Pesos finales'!$D$18+N138*'Pesos finales'!$D$19+O138*'Pesos finales'!$D$20+P138*'Pesos finales'!$D$21+Q138*'Pesos finales'!$D$22+R138*'Pesos finales'!$D$23+'Pesos finales'!$D$27</f>
        <v/>
      </c>
      <c r="V138" s="7">
        <f>EXP(S138)/(EXP(S138)+EXP(T138)+EXP(U138))</f>
        <v/>
      </c>
      <c r="W138" s="7">
        <f>EXP(T138)/(EXP(S138)+EXP(T138)+EXP(U138))</f>
        <v/>
      </c>
      <c r="X138" s="7">
        <f>EXP(U138)/(EXP(S138)+EXP(T138)+EXP(U138))</f>
        <v/>
      </c>
      <c r="Y138">
        <f>IF(AND(V138&gt;=W138,V138&gt;=X138),"Iris-setosa",IF(AND(W138&gt;=X138),"Iris-versicolor","Iris-virginica"))</f>
        <v/>
      </c>
      <c r="Z138" t="inlineStr">
        <is>
          <t>Iris-virginica</t>
        </is>
      </c>
      <c r="AA138">
        <f>IF(Y138=Z138,"Sí","No")</f>
        <v/>
      </c>
      <c r="AB138" s="7" t="n">
        <v>5.30502067149129e-06</v>
      </c>
      <c r="AC138" s="7" t="n">
        <v>0.011203885171617</v>
      </c>
      <c r="AD138" s="7" t="n">
        <v>0.9887908098077114</v>
      </c>
      <c r="AE138" t="inlineStr">
        <is>
          <t>Iris-virginica</t>
        </is>
      </c>
      <c r="AF138" s="9">
        <f>MAX(ABS(V138-AB138),ABS(W138-AC138),ABS(X138-AD138))</f>
        <v/>
      </c>
      <c r="AG138">
        <f>IF(AND(Y138=AE138,AF138&lt;1E-9),"Sí","No")</f>
        <v/>
      </c>
    </row>
    <row r="139">
      <c r="A139" t="n">
        <v>133</v>
      </c>
      <c r="B139" t="inlineStr">
        <is>
          <t>prueba</t>
        </is>
      </c>
      <c r="C139" t="n">
        <v>6.4</v>
      </c>
      <c r="D139" t="n">
        <v>2.8</v>
      </c>
      <c r="E139" t="n">
        <v>5.6</v>
      </c>
      <c r="F139" t="n">
        <v>2.2</v>
      </c>
      <c r="G139" s="7">
        <f>(C139-'Pesos finales'!$B$31)/'Pesos finales'!$B$32</f>
        <v/>
      </c>
      <c r="H139" s="7">
        <f>(D139-'Pesos finales'!$C$31)/'Pesos finales'!$C$32</f>
        <v/>
      </c>
      <c r="I139" s="7">
        <f>(E139-'Pesos finales'!$D$31)/'Pesos finales'!$D$32</f>
        <v/>
      </c>
      <c r="J139" s="7">
        <f>(F139-'Pesos finales'!$E$31)/'Pesos finales'!$E$32</f>
        <v/>
      </c>
      <c r="K139" s="7">
        <f>TANH(G139*'Pesos finales'!$B$5+H139*'Pesos finales'!$B$6+I139*'Pesos finales'!$B$7+J139*'Pesos finales'!$B$8+'Pesos finales'!$B$12)</f>
        <v/>
      </c>
      <c r="L139" s="7">
        <f>TANH(G139*'Pesos finales'!$C$5+H139*'Pesos finales'!$C$6+I139*'Pesos finales'!$C$7+J139*'Pesos finales'!$C$8+'Pesos finales'!$C$12)</f>
        <v/>
      </c>
      <c r="M139" s="7">
        <f>TANH(G139*'Pesos finales'!$D$5+H139*'Pesos finales'!$D$6+I139*'Pesos finales'!$D$7+J139*'Pesos finales'!$D$8+'Pesos finales'!$D$12)</f>
        <v/>
      </c>
      <c r="N139" s="7">
        <f>TANH(G139*'Pesos finales'!$E$5+H139*'Pesos finales'!$E$6+I139*'Pesos finales'!$E$7+J139*'Pesos finales'!$E$8+'Pesos finales'!$E$12)</f>
        <v/>
      </c>
      <c r="O139" s="7">
        <f>TANH(G139*'Pesos finales'!$F$5+H139*'Pesos finales'!$F$6+I139*'Pesos finales'!$F$7+J139*'Pesos finales'!$F$8+'Pesos finales'!$F$12)</f>
        <v/>
      </c>
      <c r="P139" s="7">
        <f>TANH(G139*'Pesos finales'!$G$5+H139*'Pesos finales'!$G$6+I139*'Pesos finales'!$G$7+J139*'Pesos finales'!$G$8+'Pesos finales'!$G$12)</f>
        <v/>
      </c>
      <c r="Q139" s="7">
        <f>TANH(G139*'Pesos finales'!$H$5+H139*'Pesos finales'!$H$6+I139*'Pesos finales'!$H$7+J139*'Pesos finales'!$H$8+'Pesos finales'!$H$12)</f>
        <v/>
      </c>
      <c r="R139" s="7">
        <f>TANH(G139*'Pesos finales'!$I$5+H139*'Pesos finales'!$I$6+I139*'Pesos finales'!$I$7+J139*'Pesos finales'!$I$8+'Pesos finales'!$I$12)</f>
        <v/>
      </c>
      <c r="S139" s="7">
        <f>K139*'Pesos finales'!$B$16+L139*'Pesos finales'!$B$17+M139*'Pesos finales'!$B$18+N139*'Pesos finales'!$B$19+O139*'Pesos finales'!$B$20+P139*'Pesos finales'!$B$21+Q139*'Pesos finales'!$B$22+R139*'Pesos finales'!$B$23+'Pesos finales'!$B$27</f>
        <v/>
      </c>
      <c r="T139" s="7">
        <f>K139*'Pesos finales'!$C$16+L139*'Pesos finales'!$C$17+M139*'Pesos finales'!$C$18+N139*'Pesos finales'!$C$19+O139*'Pesos finales'!$C$20+P139*'Pesos finales'!$C$21+Q139*'Pesos finales'!$C$22+R139*'Pesos finales'!$C$23+'Pesos finales'!$C$27</f>
        <v/>
      </c>
      <c r="U139" s="7">
        <f>K139*'Pesos finales'!$D$16+L139*'Pesos finales'!$D$17+M139*'Pesos finales'!$D$18+N139*'Pesos finales'!$D$19+O139*'Pesos finales'!$D$20+P139*'Pesos finales'!$D$21+Q139*'Pesos finales'!$D$22+R139*'Pesos finales'!$D$23+'Pesos finales'!$D$27</f>
        <v/>
      </c>
      <c r="V139" s="7">
        <f>EXP(S139)/(EXP(S139)+EXP(T139)+EXP(U139))</f>
        <v/>
      </c>
      <c r="W139" s="7">
        <f>EXP(T139)/(EXP(S139)+EXP(T139)+EXP(U139))</f>
        <v/>
      </c>
      <c r="X139" s="7">
        <f>EXP(U139)/(EXP(S139)+EXP(T139)+EXP(U139))</f>
        <v/>
      </c>
      <c r="Y139">
        <f>IF(AND(V139&gt;=W139,V139&gt;=X139),"Iris-setosa",IF(AND(W139&gt;=X139),"Iris-versicolor","Iris-virginica"))</f>
        <v/>
      </c>
      <c r="Z139" t="inlineStr">
        <is>
          <t>Iris-virginica</t>
        </is>
      </c>
      <c r="AA139">
        <f>IF(Y139=Z139,"Sí","No")</f>
        <v/>
      </c>
      <c r="AB139" s="7" t="n">
        <v>3.37630178969214e-07</v>
      </c>
      <c r="AC139" s="7" t="n">
        <v>0.0007779238334398846</v>
      </c>
      <c r="AD139" s="7" t="n">
        <v>0.9992217385363812</v>
      </c>
      <c r="AE139" t="inlineStr">
        <is>
          <t>Iris-virginica</t>
        </is>
      </c>
      <c r="AF139" s="9">
        <f>MAX(ABS(V139-AB139),ABS(W139-AC139),ABS(X139-AD139))</f>
        <v/>
      </c>
      <c r="AG139">
        <f>IF(AND(Y139=AE139,AF139&lt;1E-9),"Sí","No")</f>
        <v/>
      </c>
    </row>
    <row r="140">
      <c r="A140" t="n">
        <v>134</v>
      </c>
      <c r="B140" t="inlineStr">
        <is>
          <t>entrenamiento</t>
        </is>
      </c>
      <c r="C140" t="n">
        <v>6.3</v>
      </c>
      <c r="D140" t="n">
        <v>2.8</v>
      </c>
      <c r="E140" t="n">
        <v>5.1</v>
      </c>
      <c r="F140" t="n">
        <v>1.5</v>
      </c>
      <c r="G140" s="7">
        <f>(C140-'Pesos finales'!$B$31)/'Pesos finales'!$B$32</f>
        <v/>
      </c>
      <c r="H140" s="7">
        <f>(D140-'Pesos finales'!$C$31)/'Pesos finales'!$C$32</f>
        <v/>
      </c>
      <c r="I140" s="7">
        <f>(E140-'Pesos finales'!$D$31)/'Pesos finales'!$D$32</f>
        <v/>
      </c>
      <c r="J140" s="7">
        <f>(F140-'Pesos finales'!$E$31)/'Pesos finales'!$E$32</f>
        <v/>
      </c>
      <c r="K140" s="7">
        <f>TANH(G140*'Pesos finales'!$B$5+H140*'Pesos finales'!$B$6+I140*'Pesos finales'!$B$7+J140*'Pesos finales'!$B$8+'Pesos finales'!$B$12)</f>
        <v/>
      </c>
      <c r="L140" s="7">
        <f>TANH(G140*'Pesos finales'!$C$5+H140*'Pesos finales'!$C$6+I140*'Pesos finales'!$C$7+J140*'Pesos finales'!$C$8+'Pesos finales'!$C$12)</f>
        <v/>
      </c>
      <c r="M140" s="7">
        <f>TANH(G140*'Pesos finales'!$D$5+H140*'Pesos finales'!$D$6+I140*'Pesos finales'!$D$7+J140*'Pesos finales'!$D$8+'Pesos finales'!$D$12)</f>
        <v/>
      </c>
      <c r="N140" s="7">
        <f>TANH(G140*'Pesos finales'!$E$5+H140*'Pesos finales'!$E$6+I140*'Pesos finales'!$E$7+J140*'Pesos finales'!$E$8+'Pesos finales'!$E$12)</f>
        <v/>
      </c>
      <c r="O140" s="7">
        <f>TANH(G140*'Pesos finales'!$F$5+H140*'Pesos finales'!$F$6+I140*'Pesos finales'!$F$7+J140*'Pesos finales'!$F$8+'Pesos finales'!$F$12)</f>
        <v/>
      </c>
      <c r="P140" s="7">
        <f>TANH(G140*'Pesos finales'!$G$5+H140*'Pesos finales'!$G$6+I140*'Pesos finales'!$G$7+J140*'Pesos finales'!$G$8+'Pesos finales'!$G$12)</f>
        <v/>
      </c>
      <c r="Q140" s="7">
        <f>TANH(G140*'Pesos finales'!$H$5+H140*'Pesos finales'!$H$6+I140*'Pesos finales'!$H$7+J140*'Pesos finales'!$H$8+'Pesos finales'!$H$12)</f>
        <v/>
      </c>
      <c r="R140" s="7">
        <f>TANH(G140*'Pesos finales'!$I$5+H140*'Pesos finales'!$I$6+I140*'Pesos finales'!$I$7+J140*'Pesos finales'!$I$8+'Pesos finales'!$I$12)</f>
        <v/>
      </c>
      <c r="S140" s="7">
        <f>K140*'Pesos finales'!$B$16+L140*'Pesos finales'!$B$17+M140*'Pesos finales'!$B$18+N140*'Pesos finales'!$B$19+O140*'Pesos finales'!$B$20+P140*'Pesos finales'!$B$21+Q140*'Pesos finales'!$B$22+R140*'Pesos finales'!$B$23+'Pesos finales'!$B$27</f>
        <v/>
      </c>
      <c r="T140" s="7">
        <f>K140*'Pesos finales'!$C$16+L140*'Pesos finales'!$C$17+M140*'Pesos finales'!$C$18+N140*'Pesos finales'!$C$19+O140*'Pesos finales'!$C$20+P140*'Pesos finales'!$C$21+Q140*'Pesos finales'!$C$22+R140*'Pesos finales'!$C$23+'Pesos finales'!$C$27</f>
        <v/>
      </c>
      <c r="U140" s="7">
        <f>K140*'Pesos finales'!$D$16+L140*'Pesos finales'!$D$17+M140*'Pesos finales'!$D$18+N140*'Pesos finales'!$D$19+O140*'Pesos finales'!$D$20+P140*'Pesos finales'!$D$21+Q140*'Pesos finales'!$D$22+R140*'Pesos finales'!$D$23+'Pesos finales'!$D$27</f>
        <v/>
      </c>
      <c r="V140" s="7">
        <f>EXP(S140)/(EXP(S140)+EXP(T140)+EXP(U140))</f>
        <v/>
      </c>
      <c r="W140" s="7">
        <f>EXP(T140)/(EXP(S140)+EXP(T140)+EXP(U140))</f>
        <v/>
      </c>
      <c r="X140" s="7">
        <f>EXP(U140)/(EXP(S140)+EXP(T140)+EXP(U140))</f>
        <v/>
      </c>
      <c r="Y140">
        <f>IF(AND(V140&gt;=W140,V140&gt;=X140),"Iris-setosa",IF(AND(W140&gt;=X140),"Iris-versicolor","Iris-virginica"))</f>
        <v/>
      </c>
      <c r="Z140" t="inlineStr">
        <is>
          <t>Iris-virginica</t>
        </is>
      </c>
      <c r="AA140">
        <f>IF(Y140=Z140,"Sí","No")</f>
        <v/>
      </c>
      <c r="AB140" s="7" t="n">
        <v>0.000292148194511081</v>
      </c>
      <c r="AC140" s="7" t="n">
        <v>0.7130329949999901</v>
      </c>
      <c r="AD140" s="7" t="n">
        <v>0.2866748568054988</v>
      </c>
      <c r="AE140" t="inlineStr">
        <is>
          <t>Iris-versicolor</t>
        </is>
      </c>
      <c r="AF140" s="9">
        <f>MAX(ABS(V140-AB140),ABS(W140-AC140),ABS(X140-AD140))</f>
        <v/>
      </c>
      <c r="AG140">
        <f>IF(AND(Y140=AE140,AF140&lt;1E-9),"Sí","No")</f>
        <v/>
      </c>
    </row>
    <row r="141">
      <c r="A141" t="n">
        <v>135</v>
      </c>
      <c r="B141" t="inlineStr">
        <is>
          <t>entrenamiento</t>
        </is>
      </c>
      <c r="C141" t="n">
        <v>6.1</v>
      </c>
      <c r="D141" t="n">
        <v>2.6</v>
      </c>
      <c r="E141" t="n">
        <v>5.6</v>
      </c>
      <c r="F141" t="n">
        <v>1.4</v>
      </c>
      <c r="G141" s="7">
        <f>(C141-'Pesos finales'!$B$31)/'Pesos finales'!$B$32</f>
        <v/>
      </c>
      <c r="H141" s="7">
        <f>(D141-'Pesos finales'!$C$31)/'Pesos finales'!$C$32</f>
        <v/>
      </c>
      <c r="I141" s="7">
        <f>(E141-'Pesos finales'!$D$31)/'Pesos finales'!$D$32</f>
        <v/>
      </c>
      <c r="J141" s="7">
        <f>(F141-'Pesos finales'!$E$31)/'Pesos finales'!$E$32</f>
        <v/>
      </c>
      <c r="K141" s="7">
        <f>TANH(G141*'Pesos finales'!$B$5+H141*'Pesos finales'!$B$6+I141*'Pesos finales'!$B$7+J141*'Pesos finales'!$B$8+'Pesos finales'!$B$12)</f>
        <v/>
      </c>
      <c r="L141" s="7">
        <f>TANH(G141*'Pesos finales'!$C$5+H141*'Pesos finales'!$C$6+I141*'Pesos finales'!$C$7+J141*'Pesos finales'!$C$8+'Pesos finales'!$C$12)</f>
        <v/>
      </c>
      <c r="M141" s="7">
        <f>TANH(G141*'Pesos finales'!$D$5+H141*'Pesos finales'!$D$6+I141*'Pesos finales'!$D$7+J141*'Pesos finales'!$D$8+'Pesos finales'!$D$12)</f>
        <v/>
      </c>
      <c r="N141" s="7">
        <f>TANH(G141*'Pesos finales'!$E$5+H141*'Pesos finales'!$E$6+I141*'Pesos finales'!$E$7+J141*'Pesos finales'!$E$8+'Pesos finales'!$E$12)</f>
        <v/>
      </c>
      <c r="O141" s="7">
        <f>TANH(G141*'Pesos finales'!$F$5+H141*'Pesos finales'!$F$6+I141*'Pesos finales'!$F$7+J141*'Pesos finales'!$F$8+'Pesos finales'!$F$12)</f>
        <v/>
      </c>
      <c r="P141" s="7">
        <f>TANH(G141*'Pesos finales'!$G$5+H141*'Pesos finales'!$G$6+I141*'Pesos finales'!$G$7+J141*'Pesos finales'!$G$8+'Pesos finales'!$G$12)</f>
        <v/>
      </c>
      <c r="Q141" s="7">
        <f>TANH(G141*'Pesos finales'!$H$5+H141*'Pesos finales'!$H$6+I141*'Pesos finales'!$H$7+J141*'Pesos finales'!$H$8+'Pesos finales'!$H$12)</f>
        <v/>
      </c>
      <c r="R141" s="7">
        <f>TANH(G141*'Pesos finales'!$I$5+H141*'Pesos finales'!$I$6+I141*'Pesos finales'!$I$7+J141*'Pesos finales'!$I$8+'Pesos finales'!$I$12)</f>
        <v/>
      </c>
      <c r="S141" s="7">
        <f>K141*'Pesos finales'!$B$16+L141*'Pesos finales'!$B$17+M141*'Pesos finales'!$B$18+N141*'Pesos finales'!$B$19+O141*'Pesos finales'!$B$20+P141*'Pesos finales'!$B$21+Q141*'Pesos finales'!$B$22+R141*'Pesos finales'!$B$23+'Pesos finales'!$B$27</f>
        <v/>
      </c>
      <c r="T141" s="7">
        <f>K141*'Pesos finales'!$C$16+L141*'Pesos finales'!$C$17+M141*'Pesos finales'!$C$18+N141*'Pesos finales'!$C$19+O141*'Pesos finales'!$C$20+P141*'Pesos finales'!$C$21+Q141*'Pesos finales'!$C$22+R141*'Pesos finales'!$C$23+'Pesos finales'!$C$27</f>
        <v/>
      </c>
      <c r="U141" s="7">
        <f>K141*'Pesos finales'!$D$16+L141*'Pesos finales'!$D$17+M141*'Pesos finales'!$D$18+N141*'Pesos finales'!$D$19+O141*'Pesos finales'!$D$20+P141*'Pesos finales'!$D$21+Q141*'Pesos finales'!$D$22+R141*'Pesos finales'!$D$23+'Pesos finales'!$D$27</f>
        <v/>
      </c>
      <c r="V141" s="7">
        <f>EXP(S141)/(EXP(S141)+EXP(T141)+EXP(U141))</f>
        <v/>
      </c>
      <c r="W141" s="7">
        <f>EXP(T141)/(EXP(S141)+EXP(T141)+EXP(U141))</f>
        <v/>
      </c>
      <c r="X141" s="7">
        <f>EXP(U141)/(EXP(S141)+EXP(T141)+EXP(U141))</f>
        <v/>
      </c>
      <c r="Y141">
        <f>IF(AND(V141&gt;=W141,V141&gt;=X141),"Iris-setosa",IF(AND(W141&gt;=X141),"Iris-versicolor","Iris-virginica"))</f>
        <v/>
      </c>
      <c r="Z141" t="inlineStr">
        <is>
          <t>Iris-virginica</t>
        </is>
      </c>
      <c r="AA141">
        <f>IF(Y141=Z141,"Sí","No")</f>
        <v/>
      </c>
      <c r="AB141" s="7" t="n">
        <v>6.192026288326988e-05</v>
      </c>
      <c r="AC141" s="7" t="n">
        <v>0.1412622254999512</v>
      </c>
      <c r="AD141" s="7" t="n">
        <v>0.8586758542371655</v>
      </c>
      <c r="AE141" t="inlineStr">
        <is>
          <t>Iris-virginica</t>
        </is>
      </c>
      <c r="AF141" s="9">
        <f>MAX(ABS(V141-AB141),ABS(W141-AC141),ABS(X141-AD141))</f>
        <v/>
      </c>
      <c r="AG141">
        <f>IF(AND(Y141=AE141,AF141&lt;1E-9),"Sí","No")</f>
        <v/>
      </c>
    </row>
    <row r="142">
      <c r="A142" t="n">
        <v>136</v>
      </c>
      <c r="B142" t="inlineStr">
        <is>
          <t>entrenamiento</t>
        </is>
      </c>
      <c r="C142" t="n">
        <v>7.7</v>
      </c>
      <c r="D142" t="n">
        <v>3</v>
      </c>
      <c r="E142" t="n">
        <v>6.1</v>
      </c>
      <c r="F142" t="n">
        <v>2.3</v>
      </c>
      <c r="G142" s="7">
        <f>(C142-'Pesos finales'!$B$31)/'Pesos finales'!$B$32</f>
        <v/>
      </c>
      <c r="H142" s="7">
        <f>(D142-'Pesos finales'!$C$31)/'Pesos finales'!$C$32</f>
        <v/>
      </c>
      <c r="I142" s="7">
        <f>(E142-'Pesos finales'!$D$31)/'Pesos finales'!$D$32</f>
        <v/>
      </c>
      <c r="J142" s="7">
        <f>(F142-'Pesos finales'!$E$31)/'Pesos finales'!$E$32</f>
        <v/>
      </c>
      <c r="K142" s="7">
        <f>TANH(G142*'Pesos finales'!$B$5+H142*'Pesos finales'!$B$6+I142*'Pesos finales'!$B$7+J142*'Pesos finales'!$B$8+'Pesos finales'!$B$12)</f>
        <v/>
      </c>
      <c r="L142" s="7">
        <f>TANH(G142*'Pesos finales'!$C$5+H142*'Pesos finales'!$C$6+I142*'Pesos finales'!$C$7+J142*'Pesos finales'!$C$8+'Pesos finales'!$C$12)</f>
        <v/>
      </c>
      <c r="M142" s="7">
        <f>TANH(G142*'Pesos finales'!$D$5+H142*'Pesos finales'!$D$6+I142*'Pesos finales'!$D$7+J142*'Pesos finales'!$D$8+'Pesos finales'!$D$12)</f>
        <v/>
      </c>
      <c r="N142" s="7">
        <f>TANH(G142*'Pesos finales'!$E$5+H142*'Pesos finales'!$E$6+I142*'Pesos finales'!$E$7+J142*'Pesos finales'!$E$8+'Pesos finales'!$E$12)</f>
        <v/>
      </c>
      <c r="O142" s="7">
        <f>TANH(G142*'Pesos finales'!$F$5+H142*'Pesos finales'!$F$6+I142*'Pesos finales'!$F$7+J142*'Pesos finales'!$F$8+'Pesos finales'!$F$12)</f>
        <v/>
      </c>
      <c r="P142" s="7">
        <f>TANH(G142*'Pesos finales'!$G$5+H142*'Pesos finales'!$G$6+I142*'Pesos finales'!$G$7+J142*'Pesos finales'!$G$8+'Pesos finales'!$G$12)</f>
        <v/>
      </c>
      <c r="Q142" s="7">
        <f>TANH(G142*'Pesos finales'!$H$5+H142*'Pesos finales'!$H$6+I142*'Pesos finales'!$H$7+J142*'Pesos finales'!$H$8+'Pesos finales'!$H$12)</f>
        <v/>
      </c>
      <c r="R142" s="7">
        <f>TANH(G142*'Pesos finales'!$I$5+H142*'Pesos finales'!$I$6+I142*'Pesos finales'!$I$7+J142*'Pesos finales'!$I$8+'Pesos finales'!$I$12)</f>
        <v/>
      </c>
      <c r="S142" s="7">
        <f>K142*'Pesos finales'!$B$16+L142*'Pesos finales'!$B$17+M142*'Pesos finales'!$B$18+N142*'Pesos finales'!$B$19+O142*'Pesos finales'!$B$20+P142*'Pesos finales'!$B$21+Q142*'Pesos finales'!$B$22+R142*'Pesos finales'!$B$23+'Pesos finales'!$B$27</f>
        <v/>
      </c>
      <c r="T142" s="7">
        <f>K142*'Pesos finales'!$C$16+L142*'Pesos finales'!$C$17+M142*'Pesos finales'!$C$18+N142*'Pesos finales'!$C$19+O142*'Pesos finales'!$C$20+P142*'Pesos finales'!$C$21+Q142*'Pesos finales'!$C$22+R142*'Pesos finales'!$C$23+'Pesos finales'!$C$27</f>
        <v/>
      </c>
      <c r="U142" s="7">
        <f>K142*'Pesos finales'!$D$16+L142*'Pesos finales'!$D$17+M142*'Pesos finales'!$D$18+N142*'Pesos finales'!$D$19+O142*'Pesos finales'!$D$20+P142*'Pesos finales'!$D$21+Q142*'Pesos finales'!$D$22+R142*'Pesos finales'!$D$23+'Pesos finales'!$D$27</f>
        <v/>
      </c>
      <c r="V142" s="7">
        <f>EXP(S142)/(EXP(S142)+EXP(T142)+EXP(U142))</f>
        <v/>
      </c>
      <c r="W142" s="7">
        <f>EXP(T142)/(EXP(S142)+EXP(T142)+EXP(U142))</f>
        <v/>
      </c>
      <c r="X142" s="7">
        <f>EXP(U142)/(EXP(S142)+EXP(T142)+EXP(U142))</f>
        <v/>
      </c>
      <c r="Y142">
        <f>IF(AND(V142&gt;=W142,V142&gt;=X142),"Iris-setosa",IF(AND(W142&gt;=X142),"Iris-versicolor","Iris-virginica"))</f>
        <v/>
      </c>
      <c r="Z142" t="inlineStr">
        <is>
          <t>Iris-virginica</t>
        </is>
      </c>
      <c r="AA142">
        <f>IF(Y142=Z142,"Sí","No")</f>
        <v/>
      </c>
      <c r="AB142" s="7" t="n">
        <v>3.054880327440605e-07</v>
      </c>
      <c r="AC142" s="7" t="n">
        <v>0.0008715488571368714</v>
      </c>
      <c r="AD142" s="7" t="n">
        <v>0.9991281456548304</v>
      </c>
      <c r="AE142" t="inlineStr">
        <is>
          <t>Iris-virginica</t>
        </is>
      </c>
      <c r="AF142" s="9">
        <f>MAX(ABS(V142-AB142),ABS(W142-AC142),ABS(X142-AD142))</f>
        <v/>
      </c>
      <c r="AG142">
        <f>IF(AND(Y142=AE142,AF142&lt;1E-9),"Sí","No")</f>
        <v/>
      </c>
    </row>
    <row r="143">
      <c r="A143" t="n">
        <v>137</v>
      </c>
      <c r="B143" t="inlineStr">
        <is>
          <t>entrenamiento</t>
        </is>
      </c>
      <c r="C143" t="n">
        <v>6.3</v>
      </c>
      <c r="D143" t="n">
        <v>3.4</v>
      </c>
      <c r="E143" t="n">
        <v>5.6</v>
      </c>
      <c r="F143" t="n">
        <v>2.4</v>
      </c>
      <c r="G143" s="7">
        <f>(C143-'Pesos finales'!$B$31)/'Pesos finales'!$B$32</f>
        <v/>
      </c>
      <c r="H143" s="7">
        <f>(D143-'Pesos finales'!$C$31)/'Pesos finales'!$C$32</f>
        <v/>
      </c>
      <c r="I143" s="7">
        <f>(E143-'Pesos finales'!$D$31)/'Pesos finales'!$D$32</f>
        <v/>
      </c>
      <c r="J143" s="7">
        <f>(F143-'Pesos finales'!$E$31)/'Pesos finales'!$E$32</f>
        <v/>
      </c>
      <c r="K143" s="7">
        <f>TANH(G143*'Pesos finales'!$B$5+H143*'Pesos finales'!$B$6+I143*'Pesos finales'!$B$7+J143*'Pesos finales'!$B$8+'Pesos finales'!$B$12)</f>
        <v/>
      </c>
      <c r="L143" s="7">
        <f>TANH(G143*'Pesos finales'!$C$5+H143*'Pesos finales'!$C$6+I143*'Pesos finales'!$C$7+J143*'Pesos finales'!$C$8+'Pesos finales'!$C$12)</f>
        <v/>
      </c>
      <c r="M143" s="7">
        <f>TANH(G143*'Pesos finales'!$D$5+H143*'Pesos finales'!$D$6+I143*'Pesos finales'!$D$7+J143*'Pesos finales'!$D$8+'Pesos finales'!$D$12)</f>
        <v/>
      </c>
      <c r="N143" s="7">
        <f>TANH(G143*'Pesos finales'!$E$5+H143*'Pesos finales'!$E$6+I143*'Pesos finales'!$E$7+J143*'Pesos finales'!$E$8+'Pesos finales'!$E$12)</f>
        <v/>
      </c>
      <c r="O143" s="7">
        <f>TANH(G143*'Pesos finales'!$F$5+H143*'Pesos finales'!$F$6+I143*'Pesos finales'!$F$7+J143*'Pesos finales'!$F$8+'Pesos finales'!$F$12)</f>
        <v/>
      </c>
      <c r="P143" s="7">
        <f>TANH(G143*'Pesos finales'!$G$5+H143*'Pesos finales'!$G$6+I143*'Pesos finales'!$G$7+J143*'Pesos finales'!$G$8+'Pesos finales'!$G$12)</f>
        <v/>
      </c>
      <c r="Q143" s="7">
        <f>TANH(G143*'Pesos finales'!$H$5+H143*'Pesos finales'!$H$6+I143*'Pesos finales'!$H$7+J143*'Pesos finales'!$H$8+'Pesos finales'!$H$12)</f>
        <v/>
      </c>
      <c r="R143" s="7">
        <f>TANH(G143*'Pesos finales'!$I$5+H143*'Pesos finales'!$I$6+I143*'Pesos finales'!$I$7+J143*'Pesos finales'!$I$8+'Pesos finales'!$I$12)</f>
        <v/>
      </c>
      <c r="S143" s="7">
        <f>K143*'Pesos finales'!$B$16+L143*'Pesos finales'!$B$17+M143*'Pesos finales'!$B$18+N143*'Pesos finales'!$B$19+O143*'Pesos finales'!$B$20+P143*'Pesos finales'!$B$21+Q143*'Pesos finales'!$B$22+R143*'Pesos finales'!$B$23+'Pesos finales'!$B$27</f>
        <v/>
      </c>
      <c r="T143" s="7">
        <f>K143*'Pesos finales'!$C$16+L143*'Pesos finales'!$C$17+M143*'Pesos finales'!$C$18+N143*'Pesos finales'!$C$19+O143*'Pesos finales'!$C$20+P143*'Pesos finales'!$C$21+Q143*'Pesos finales'!$C$22+R143*'Pesos finales'!$C$23+'Pesos finales'!$C$27</f>
        <v/>
      </c>
      <c r="U143" s="7">
        <f>K143*'Pesos finales'!$D$16+L143*'Pesos finales'!$D$17+M143*'Pesos finales'!$D$18+N143*'Pesos finales'!$D$19+O143*'Pesos finales'!$D$20+P143*'Pesos finales'!$D$21+Q143*'Pesos finales'!$D$22+R143*'Pesos finales'!$D$23+'Pesos finales'!$D$27</f>
        <v/>
      </c>
      <c r="V143" s="7">
        <f>EXP(S143)/(EXP(S143)+EXP(T143)+EXP(U143))</f>
        <v/>
      </c>
      <c r="W143" s="7">
        <f>EXP(T143)/(EXP(S143)+EXP(T143)+EXP(U143))</f>
        <v/>
      </c>
      <c r="X143" s="7">
        <f>EXP(U143)/(EXP(S143)+EXP(T143)+EXP(U143))</f>
        <v/>
      </c>
      <c r="Y143">
        <f>IF(AND(V143&gt;=W143,V143&gt;=X143),"Iris-setosa",IF(AND(W143&gt;=X143),"Iris-versicolor","Iris-virginica"))</f>
        <v/>
      </c>
      <c r="Z143" t="inlineStr">
        <is>
          <t>Iris-virginica</t>
        </is>
      </c>
      <c r="AA143">
        <f>IF(Y143=Z143,"Sí","No")</f>
        <v/>
      </c>
      <c r="AB143" s="7" t="n">
        <v>7.330481044842085e-07</v>
      </c>
      <c r="AC143" s="7" t="n">
        <v>0.00118781279680791</v>
      </c>
      <c r="AD143" s="7" t="n">
        <v>0.9988114541550877</v>
      </c>
      <c r="AE143" t="inlineStr">
        <is>
          <t>Iris-virginica</t>
        </is>
      </c>
      <c r="AF143" s="9">
        <f>MAX(ABS(V143-AB143),ABS(W143-AC143),ABS(X143-AD143))</f>
        <v/>
      </c>
      <c r="AG143">
        <f>IF(AND(Y143=AE143,AF143&lt;1E-9),"Sí","No")</f>
        <v/>
      </c>
    </row>
    <row r="144">
      <c r="A144" t="n">
        <v>138</v>
      </c>
      <c r="B144" t="inlineStr">
        <is>
          <t>entrenamiento</t>
        </is>
      </c>
      <c r="C144" t="n">
        <v>6.4</v>
      </c>
      <c r="D144" t="n">
        <v>3.1</v>
      </c>
      <c r="E144" t="n">
        <v>5.5</v>
      </c>
      <c r="F144" t="n">
        <v>1.8</v>
      </c>
      <c r="G144" s="7">
        <f>(C144-'Pesos finales'!$B$31)/'Pesos finales'!$B$32</f>
        <v/>
      </c>
      <c r="H144" s="7">
        <f>(D144-'Pesos finales'!$C$31)/'Pesos finales'!$C$32</f>
        <v/>
      </c>
      <c r="I144" s="7">
        <f>(E144-'Pesos finales'!$D$31)/'Pesos finales'!$D$32</f>
        <v/>
      </c>
      <c r="J144" s="7">
        <f>(F144-'Pesos finales'!$E$31)/'Pesos finales'!$E$32</f>
        <v/>
      </c>
      <c r="K144" s="7">
        <f>TANH(G144*'Pesos finales'!$B$5+H144*'Pesos finales'!$B$6+I144*'Pesos finales'!$B$7+J144*'Pesos finales'!$B$8+'Pesos finales'!$B$12)</f>
        <v/>
      </c>
      <c r="L144" s="7">
        <f>TANH(G144*'Pesos finales'!$C$5+H144*'Pesos finales'!$C$6+I144*'Pesos finales'!$C$7+J144*'Pesos finales'!$C$8+'Pesos finales'!$C$12)</f>
        <v/>
      </c>
      <c r="M144" s="7">
        <f>TANH(G144*'Pesos finales'!$D$5+H144*'Pesos finales'!$D$6+I144*'Pesos finales'!$D$7+J144*'Pesos finales'!$D$8+'Pesos finales'!$D$12)</f>
        <v/>
      </c>
      <c r="N144" s="7">
        <f>TANH(G144*'Pesos finales'!$E$5+H144*'Pesos finales'!$E$6+I144*'Pesos finales'!$E$7+J144*'Pesos finales'!$E$8+'Pesos finales'!$E$12)</f>
        <v/>
      </c>
      <c r="O144" s="7">
        <f>TANH(G144*'Pesos finales'!$F$5+H144*'Pesos finales'!$F$6+I144*'Pesos finales'!$F$7+J144*'Pesos finales'!$F$8+'Pesos finales'!$F$12)</f>
        <v/>
      </c>
      <c r="P144" s="7">
        <f>TANH(G144*'Pesos finales'!$G$5+H144*'Pesos finales'!$G$6+I144*'Pesos finales'!$G$7+J144*'Pesos finales'!$G$8+'Pesos finales'!$G$12)</f>
        <v/>
      </c>
      <c r="Q144" s="7">
        <f>TANH(G144*'Pesos finales'!$H$5+H144*'Pesos finales'!$H$6+I144*'Pesos finales'!$H$7+J144*'Pesos finales'!$H$8+'Pesos finales'!$H$12)</f>
        <v/>
      </c>
      <c r="R144" s="7">
        <f>TANH(G144*'Pesos finales'!$I$5+H144*'Pesos finales'!$I$6+I144*'Pesos finales'!$I$7+J144*'Pesos finales'!$I$8+'Pesos finales'!$I$12)</f>
        <v/>
      </c>
      <c r="S144" s="7">
        <f>K144*'Pesos finales'!$B$16+L144*'Pesos finales'!$B$17+M144*'Pesos finales'!$B$18+N144*'Pesos finales'!$B$19+O144*'Pesos finales'!$B$20+P144*'Pesos finales'!$B$21+Q144*'Pesos finales'!$B$22+R144*'Pesos finales'!$B$23+'Pesos finales'!$B$27</f>
        <v/>
      </c>
      <c r="T144" s="7">
        <f>K144*'Pesos finales'!$C$16+L144*'Pesos finales'!$C$17+M144*'Pesos finales'!$C$18+N144*'Pesos finales'!$C$19+O144*'Pesos finales'!$C$20+P144*'Pesos finales'!$C$21+Q144*'Pesos finales'!$C$22+R144*'Pesos finales'!$C$23+'Pesos finales'!$C$27</f>
        <v/>
      </c>
      <c r="U144" s="7">
        <f>K144*'Pesos finales'!$D$16+L144*'Pesos finales'!$D$17+M144*'Pesos finales'!$D$18+N144*'Pesos finales'!$D$19+O144*'Pesos finales'!$D$20+P144*'Pesos finales'!$D$21+Q144*'Pesos finales'!$D$22+R144*'Pesos finales'!$D$23+'Pesos finales'!$D$27</f>
        <v/>
      </c>
      <c r="V144" s="7">
        <f>EXP(S144)/(EXP(S144)+EXP(T144)+EXP(U144))</f>
        <v/>
      </c>
      <c r="W144" s="7">
        <f>EXP(T144)/(EXP(S144)+EXP(T144)+EXP(U144))</f>
        <v/>
      </c>
      <c r="X144" s="7">
        <f>EXP(U144)/(EXP(S144)+EXP(T144)+EXP(U144))</f>
        <v/>
      </c>
      <c r="Y144">
        <f>IF(AND(V144&gt;=W144,V144&gt;=X144),"Iris-setosa",IF(AND(W144&gt;=X144),"Iris-versicolor","Iris-virginica"))</f>
        <v/>
      </c>
      <c r="Z144" t="inlineStr">
        <is>
          <t>Iris-virginica</t>
        </is>
      </c>
      <c r="AA144">
        <f>IF(Y144=Z144,"Sí","No")</f>
        <v/>
      </c>
      <c r="AB144" s="7" t="n">
        <v>1.962715986000357e-05</v>
      </c>
      <c r="AC144" s="7" t="n">
        <v>0.03416083699253854</v>
      </c>
      <c r="AD144" s="7" t="n">
        <v>0.9658195358476015</v>
      </c>
      <c r="AE144" t="inlineStr">
        <is>
          <t>Iris-virginica</t>
        </is>
      </c>
      <c r="AF144" s="9">
        <f>MAX(ABS(V144-AB144),ABS(W144-AC144),ABS(X144-AD144))</f>
        <v/>
      </c>
      <c r="AG144">
        <f>IF(AND(Y144=AE144,AF144&lt;1E-9),"Sí","No")</f>
        <v/>
      </c>
    </row>
    <row r="145">
      <c r="A145" t="n">
        <v>139</v>
      </c>
      <c r="B145" t="inlineStr">
        <is>
          <t>entrenamiento</t>
        </is>
      </c>
      <c r="C145" t="n">
        <v>6</v>
      </c>
      <c r="D145" t="n">
        <v>3</v>
      </c>
      <c r="E145" t="n">
        <v>4.8</v>
      </c>
      <c r="F145" t="n">
        <v>1.8</v>
      </c>
      <c r="G145" s="7">
        <f>(C145-'Pesos finales'!$B$31)/'Pesos finales'!$B$32</f>
        <v/>
      </c>
      <c r="H145" s="7">
        <f>(D145-'Pesos finales'!$C$31)/'Pesos finales'!$C$32</f>
        <v/>
      </c>
      <c r="I145" s="7">
        <f>(E145-'Pesos finales'!$D$31)/'Pesos finales'!$D$32</f>
        <v/>
      </c>
      <c r="J145" s="7">
        <f>(F145-'Pesos finales'!$E$31)/'Pesos finales'!$E$32</f>
        <v/>
      </c>
      <c r="K145" s="7">
        <f>TANH(G145*'Pesos finales'!$B$5+H145*'Pesos finales'!$B$6+I145*'Pesos finales'!$B$7+J145*'Pesos finales'!$B$8+'Pesos finales'!$B$12)</f>
        <v/>
      </c>
      <c r="L145" s="7">
        <f>TANH(G145*'Pesos finales'!$C$5+H145*'Pesos finales'!$C$6+I145*'Pesos finales'!$C$7+J145*'Pesos finales'!$C$8+'Pesos finales'!$C$12)</f>
        <v/>
      </c>
      <c r="M145" s="7">
        <f>TANH(G145*'Pesos finales'!$D$5+H145*'Pesos finales'!$D$6+I145*'Pesos finales'!$D$7+J145*'Pesos finales'!$D$8+'Pesos finales'!$D$12)</f>
        <v/>
      </c>
      <c r="N145" s="7">
        <f>TANH(G145*'Pesos finales'!$E$5+H145*'Pesos finales'!$E$6+I145*'Pesos finales'!$E$7+J145*'Pesos finales'!$E$8+'Pesos finales'!$E$12)</f>
        <v/>
      </c>
      <c r="O145" s="7">
        <f>TANH(G145*'Pesos finales'!$F$5+H145*'Pesos finales'!$F$6+I145*'Pesos finales'!$F$7+J145*'Pesos finales'!$F$8+'Pesos finales'!$F$12)</f>
        <v/>
      </c>
      <c r="P145" s="7">
        <f>TANH(G145*'Pesos finales'!$G$5+H145*'Pesos finales'!$G$6+I145*'Pesos finales'!$G$7+J145*'Pesos finales'!$G$8+'Pesos finales'!$G$12)</f>
        <v/>
      </c>
      <c r="Q145" s="7">
        <f>TANH(G145*'Pesos finales'!$H$5+H145*'Pesos finales'!$H$6+I145*'Pesos finales'!$H$7+J145*'Pesos finales'!$H$8+'Pesos finales'!$H$12)</f>
        <v/>
      </c>
      <c r="R145" s="7">
        <f>TANH(G145*'Pesos finales'!$I$5+H145*'Pesos finales'!$I$6+I145*'Pesos finales'!$I$7+J145*'Pesos finales'!$I$8+'Pesos finales'!$I$12)</f>
        <v/>
      </c>
      <c r="S145" s="7">
        <f>K145*'Pesos finales'!$B$16+L145*'Pesos finales'!$B$17+M145*'Pesos finales'!$B$18+N145*'Pesos finales'!$B$19+O145*'Pesos finales'!$B$20+P145*'Pesos finales'!$B$21+Q145*'Pesos finales'!$B$22+R145*'Pesos finales'!$B$23+'Pesos finales'!$B$27</f>
        <v/>
      </c>
      <c r="T145" s="7">
        <f>K145*'Pesos finales'!$C$16+L145*'Pesos finales'!$C$17+M145*'Pesos finales'!$C$18+N145*'Pesos finales'!$C$19+O145*'Pesos finales'!$C$20+P145*'Pesos finales'!$C$21+Q145*'Pesos finales'!$C$22+R145*'Pesos finales'!$C$23+'Pesos finales'!$C$27</f>
        <v/>
      </c>
      <c r="U145" s="7">
        <f>K145*'Pesos finales'!$D$16+L145*'Pesos finales'!$D$17+M145*'Pesos finales'!$D$18+N145*'Pesos finales'!$D$19+O145*'Pesos finales'!$D$20+P145*'Pesos finales'!$D$21+Q145*'Pesos finales'!$D$22+R145*'Pesos finales'!$D$23+'Pesos finales'!$D$27</f>
        <v/>
      </c>
      <c r="V145" s="7">
        <f>EXP(S145)/(EXP(S145)+EXP(T145)+EXP(U145))</f>
        <v/>
      </c>
      <c r="W145" s="7">
        <f>EXP(T145)/(EXP(S145)+EXP(T145)+EXP(U145))</f>
        <v/>
      </c>
      <c r="X145" s="7">
        <f>EXP(U145)/(EXP(S145)+EXP(T145)+EXP(U145))</f>
        <v/>
      </c>
      <c r="Y145">
        <f>IF(AND(V145&gt;=W145,V145&gt;=X145),"Iris-setosa",IF(AND(W145&gt;=X145),"Iris-versicolor","Iris-virginica"))</f>
        <v/>
      </c>
      <c r="Z145" t="inlineStr">
        <is>
          <t>Iris-virginica</t>
        </is>
      </c>
      <c r="AA145">
        <f>IF(Y145=Z145,"Sí","No")</f>
        <v/>
      </c>
      <c r="AB145" s="7" t="n">
        <v>0.000214962398135446</v>
      </c>
      <c r="AC145" s="7" t="n">
        <v>0.3151274833214514</v>
      </c>
      <c r="AD145" s="7" t="n">
        <v>0.6846575542804131</v>
      </c>
      <c r="AE145" t="inlineStr">
        <is>
          <t>Iris-virginica</t>
        </is>
      </c>
      <c r="AF145" s="9">
        <f>MAX(ABS(V145-AB145),ABS(W145-AC145),ABS(X145-AD145))</f>
        <v/>
      </c>
      <c r="AG145">
        <f>IF(AND(Y145=AE145,AF145&lt;1E-9),"Sí","No")</f>
        <v/>
      </c>
    </row>
    <row r="146">
      <c r="A146" t="n">
        <v>140</v>
      </c>
      <c r="B146" t="inlineStr">
        <is>
          <t>entrenamiento</t>
        </is>
      </c>
      <c r="C146" t="n">
        <v>6.9</v>
      </c>
      <c r="D146" t="n">
        <v>3.1</v>
      </c>
      <c r="E146" t="n">
        <v>5.4</v>
      </c>
      <c r="F146" t="n">
        <v>2.1</v>
      </c>
      <c r="G146" s="7">
        <f>(C146-'Pesos finales'!$B$31)/'Pesos finales'!$B$32</f>
        <v/>
      </c>
      <c r="H146" s="7">
        <f>(D146-'Pesos finales'!$C$31)/'Pesos finales'!$C$32</f>
        <v/>
      </c>
      <c r="I146" s="7">
        <f>(E146-'Pesos finales'!$D$31)/'Pesos finales'!$D$32</f>
        <v/>
      </c>
      <c r="J146" s="7">
        <f>(F146-'Pesos finales'!$E$31)/'Pesos finales'!$E$32</f>
        <v/>
      </c>
      <c r="K146" s="7">
        <f>TANH(G146*'Pesos finales'!$B$5+H146*'Pesos finales'!$B$6+I146*'Pesos finales'!$B$7+J146*'Pesos finales'!$B$8+'Pesos finales'!$B$12)</f>
        <v/>
      </c>
      <c r="L146" s="7">
        <f>TANH(G146*'Pesos finales'!$C$5+H146*'Pesos finales'!$C$6+I146*'Pesos finales'!$C$7+J146*'Pesos finales'!$C$8+'Pesos finales'!$C$12)</f>
        <v/>
      </c>
      <c r="M146" s="7">
        <f>TANH(G146*'Pesos finales'!$D$5+H146*'Pesos finales'!$D$6+I146*'Pesos finales'!$D$7+J146*'Pesos finales'!$D$8+'Pesos finales'!$D$12)</f>
        <v/>
      </c>
      <c r="N146" s="7">
        <f>TANH(G146*'Pesos finales'!$E$5+H146*'Pesos finales'!$E$6+I146*'Pesos finales'!$E$7+J146*'Pesos finales'!$E$8+'Pesos finales'!$E$12)</f>
        <v/>
      </c>
      <c r="O146" s="7">
        <f>TANH(G146*'Pesos finales'!$F$5+H146*'Pesos finales'!$F$6+I146*'Pesos finales'!$F$7+J146*'Pesos finales'!$F$8+'Pesos finales'!$F$12)</f>
        <v/>
      </c>
      <c r="P146" s="7">
        <f>TANH(G146*'Pesos finales'!$G$5+H146*'Pesos finales'!$G$6+I146*'Pesos finales'!$G$7+J146*'Pesos finales'!$G$8+'Pesos finales'!$G$12)</f>
        <v/>
      </c>
      <c r="Q146" s="7">
        <f>TANH(G146*'Pesos finales'!$H$5+H146*'Pesos finales'!$H$6+I146*'Pesos finales'!$H$7+J146*'Pesos finales'!$H$8+'Pesos finales'!$H$12)</f>
        <v/>
      </c>
      <c r="R146" s="7">
        <f>TANH(G146*'Pesos finales'!$I$5+H146*'Pesos finales'!$I$6+I146*'Pesos finales'!$I$7+J146*'Pesos finales'!$I$8+'Pesos finales'!$I$12)</f>
        <v/>
      </c>
      <c r="S146" s="7">
        <f>K146*'Pesos finales'!$B$16+L146*'Pesos finales'!$B$17+M146*'Pesos finales'!$B$18+N146*'Pesos finales'!$B$19+O146*'Pesos finales'!$B$20+P146*'Pesos finales'!$B$21+Q146*'Pesos finales'!$B$22+R146*'Pesos finales'!$B$23+'Pesos finales'!$B$27</f>
        <v/>
      </c>
      <c r="T146" s="7">
        <f>K146*'Pesos finales'!$C$16+L146*'Pesos finales'!$C$17+M146*'Pesos finales'!$C$18+N146*'Pesos finales'!$C$19+O146*'Pesos finales'!$C$20+P146*'Pesos finales'!$C$21+Q146*'Pesos finales'!$C$22+R146*'Pesos finales'!$C$23+'Pesos finales'!$C$27</f>
        <v/>
      </c>
      <c r="U146" s="7">
        <f>K146*'Pesos finales'!$D$16+L146*'Pesos finales'!$D$17+M146*'Pesos finales'!$D$18+N146*'Pesos finales'!$D$19+O146*'Pesos finales'!$D$20+P146*'Pesos finales'!$D$21+Q146*'Pesos finales'!$D$22+R146*'Pesos finales'!$D$23+'Pesos finales'!$D$27</f>
        <v/>
      </c>
      <c r="V146" s="7">
        <f>EXP(S146)/(EXP(S146)+EXP(T146)+EXP(U146))</f>
        <v/>
      </c>
      <c r="W146" s="7">
        <f>EXP(T146)/(EXP(S146)+EXP(T146)+EXP(U146))</f>
        <v/>
      </c>
      <c r="X146" s="7">
        <f>EXP(U146)/(EXP(S146)+EXP(T146)+EXP(U146))</f>
        <v/>
      </c>
      <c r="Y146">
        <f>IF(AND(V146&gt;=W146,V146&gt;=X146),"Iris-setosa",IF(AND(W146&gt;=X146),"Iris-versicolor","Iris-virginica"))</f>
        <v/>
      </c>
      <c r="Z146" t="inlineStr">
        <is>
          <t>Iris-virginica</t>
        </is>
      </c>
      <c r="AA146">
        <f>IF(Y146=Z146,"Sí","No")</f>
        <v/>
      </c>
      <c r="AB146" s="7" t="n">
        <v>2.239657888354588e-06</v>
      </c>
      <c r="AC146" s="7" t="n">
        <v>0.005438258679751568</v>
      </c>
      <c r="AD146" s="7" t="n">
        <v>0.99455950166236</v>
      </c>
      <c r="AE146" t="inlineStr">
        <is>
          <t>Iris-virginica</t>
        </is>
      </c>
      <c r="AF146" s="9">
        <f>MAX(ABS(V146-AB146),ABS(W146-AC146),ABS(X146-AD146))</f>
        <v/>
      </c>
      <c r="AG146">
        <f>IF(AND(Y146=AE146,AF146&lt;1E-9),"Sí","No")</f>
        <v/>
      </c>
    </row>
    <row r="147">
      <c r="A147" t="n">
        <v>141</v>
      </c>
      <c r="B147" t="inlineStr">
        <is>
          <t>entrenamiento</t>
        </is>
      </c>
      <c r="C147" t="n">
        <v>6.7</v>
      </c>
      <c r="D147" t="n">
        <v>3.1</v>
      </c>
      <c r="E147" t="n">
        <v>5.6</v>
      </c>
      <c r="F147" t="n">
        <v>2.4</v>
      </c>
      <c r="G147" s="7">
        <f>(C147-'Pesos finales'!$B$31)/'Pesos finales'!$B$32</f>
        <v/>
      </c>
      <c r="H147" s="7">
        <f>(D147-'Pesos finales'!$C$31)/'Pesos finales'!$C$32</f>
        <v/>
      </c>
      <c r="I147" s="7">
        <f>(E147-'Pesos finales'!$D$31)/'Pesos finales'!$D$32</f>
        <v/>
      </c>
      <c r="J147" s="7">
        <f>(F147-'Pesos finales'!$E$31)/'Pesos finales'!$E$32</f>
        <v/>
      </c>
      <c r="K147" s="7">
        <f>TANH(G147*'Pesos finales'!$B$5+H147*'Pesos finales'!$B$6+I147*'Pesos finales'!$B$7+J147*'Pesos finales'!$B$8+'Pesos finales'!$B$12)</f>
        <v/>
      </c>
      <c r="L147" s="7">
        <f>TANH(G147*'Pesos finales'!$C$5+H147*'Pesos finales'!$C$6+I147*'Pesos finales'!$C$7+J147*'Pesos finales'!$C$8+'Pesos finales'!$C$12)</f>
        <v/>
      </c>
      <c r="M147" s="7">
        <f>TANH(G147*'Pesos finales'!$D$5+H147*'Pesos finales'!$D$6+I147*'Pesos finales'!$D$7+J147*'Pesos finales'!$D$8+'Pesos finales'!$D$12)</f>
        <v/>
      </c>
      <c r="N147" s="7">
        <f>TANH(G147*'Pesos finales'!$E$5+H147*'Pesos finales'!$E$6+I147*'Pesos finales'!$E$7+J147*'Pesos finales'!$E$8+'Pesos finales'!$E$12)</f>
        <v/>
      </c>
      <c r="O147" s="7">
        <f>TANH(G147*'Pesos finales'!$F$5+H147*'Pesos finales'!$F$6+I147*'Pesos finales'!$F$7+J147*'Pesos finales'!$F$8+'Pesos finales'!$F$12)</f>
        <v/>
      </c>
      <c r="P147" s="7">
        <f>TANH(G147*'Pesos finales'!$G$5+H147*'Pesos finales'!$G$6+I147*'Pesos finales'!$G$7+J147*'Pesos finales'!$G$8+'Pesos finales'!$G$12)</f>
        <v/>
      </c>
      <c r="Q147" s="7">
        <f>TANH(G147*'Pesos finales'!$H$5+H147*'Pesos finales'!$H$6+I147*'Pesos finales'!$H$7+J147*'Pesos finales'!$H$8+'Pesos finales'!$H$12)</f>
        <v/>
      </c>
      <c r="R147" s="7">
        <f>TANH(G147*'Pesos finales'!$I$5+H147*'Pesos finales'!$I$6+I147*'Pesos finales'!$I$7+J147*'Pesos finales'!$I$8+'Pesos finales'!$I$12)</f>
        <v/>
      </c>
      <c r="S147" s="7">
        <f>K147*'Pesos finales'!$B$16+L147*'Pesos finales'!$B$17+M147*'Pesos finales'!$B$18+N147*'Pesos finales'!$B$19+O147*'Pesos finales'!$B$20+P147*'Pesos finales'!$B$21+Q147*'Pesos finales'!$B$22+R147*'Pesos finales'!$B$23+'Pesos finales'!$B$27</f>
        <v/>
      </c>
      <c r="T147" s="7">
        <f>K147*'Pesos finales'!$C$16+L147*'Pesos finales'!$C$17+M147*'Pesos finales'!$C$18+N147*'Pesos finales'!$C$19+O147*'Pesos finales'!$C$20+P147*'Pesos finales'!$C$21+Q147*'Pesos finales'!$C$22+R147*'Pesos finales'!$C$23+'Pesos finales'!$C$27</f>
        <v/>
      </c>
      <c r="U147" s="7">
        <f>K147*'Pesos finales'!$D$16+L147*'Pesos finales'!$D$17+M147*'Pesos finales'!$D$18+N147*'Pesos finales'!$D$19+O147*'Pesos finales'!$D$20+P147*'Pesos finales'!$D$21+Q147*'Pesos finales'!$D$22+R147*'Pesos finales'!$D$23+'Pesos finales'!$D$27</f>
        <v/>
      </c>
      <c r="V147" s="7">
        <f>EXP(S147)/(EXP(S147)+EXP(T147)+EXP(U147))</f>
        <v/>
      </c>
      <c r="W147" s="7">
        <f>EXP(T147)/(EXP(S147)+EXP(T147)+EXP(U147))</f>
        <v/>
      </c>
      <c r="X147" s="7">
        <f>EXP(U147)/(EXP(S147)+EXP(T147)+EXP(U147))</f>
        <v/>
      </c>
      <c r="Y147">
        <f>IF(AND(V147&gt;=W147,V147&gt;=X147),"Iris-setosa",IF(AND(W147&gt;=X147),"Iris-versicolor","Iris-virginica"))</f>
        <v/>
      </c>
      <c r="Z147" t="inlineStr">
        <is>
          <t>Iris-virginica</t>
        </is>
      </c>
      <c r="AA147">
        <f>IF(Y147=Z147,"Sí","No")</f>
        <v/>
      </c>
      <c r="AB147" s="7" t="n">
        <v>2.86969851329363e-07</v>
      </c>
      <c r="AC147" s="7" t="n">
        <v>0.0006434593887746765</v>
      </c>
      <c r="AD147" s="7" t="n">
        <v>0.999356253641374</v>
      </c>
      <c r="AE147" t="inlineStr">
        <is>
          <t>Iris-virginica</t>
        </is>
      </c>
      <c r="AF147" s="9">
        <f>MAX(ABS(V147-AB147),ABS(W147-AC147),ABS(X147-AD147))</f>
        <v/>
      </c>
      <c r="AG147">
        <f>IF(AND(Y147=AE147,AF147&lt;1E-9),"Sí","No")</f>
        <v/>
      </c>
    </row>
    <row r="148">
      <c r="A148" t="n">
        <v>142</v>
      </c>
      <c r="B148" t="inlineStr">
        <is>
          <t>entrenamiento</t>
        </is>
      </c>
      <c r="C148" t="n">
        <v>6.9</v>
      </c>
      <c r="D148" t="n">
        <v>3.1</v>
      </c>
      <c r="E148" t="n">
        <v>5.1</v>
      </c>
      <c r="F148" t="n">
        <v>2.3</v>
      </c>
      <c r="G148" s="7">
        <f>(C148-'Pesos finales'!$B$31)/'Pesos finales'!$B$32</f>
        <v/>
      </c>
      <c r="H148" s="7">
        <f>(D148-'Pesos finales'!$C$31)/'Pesos finales'!$C$32</f>
        <v/>
      </c>
      <c r="I148" s="7">
        <f>(E148-'Pesos finales'!$D$31)/'Pesos finales'!$D$32</f>
        <v/>
      </c>
      <c r="J148" s="7">
        <f>(F148-'Pesos finales'!$E$31)/'Pesos finales'!$E$32</f>
        <v/>
      </c>
      <c r="K148" s="7">
        <f>TANH(G148*'Pesos finales'!$B$5+H148*'Pesos finales'!$B$6+I148*'Pesos finales'!$B$7+J148*'Pesos finales'!$B$8+'Pesos finales'!$B$12)</f>
        <v/>
      </c>
      <c r="L148" s="7">
        <f>TANH(G148*'Pesos finales'!$C$5+H148*'Pesos finales'!$C$6+I148*'Pesos finales'!$C$7+J148*'Pesos finales'!$C$8+'Pesos finales'!$C$12)</f>
        <v/>
      </c>
      <c r="M148" s="7">
        <f>TANH(G148*'Pesos finales'!$D$5+H148*'Pesos finales'!$D$6+I148*'Pesos finales'!$D$7+J148*'Pesos finales'!$D$8+'Pesos finales'!$D$12)</f>
        <v/>
      </c>
      <c r="N148" s="7">
        <f>TANH(G148*'Pesos finales'!$E$5+H148*'Pesos finales'!$E$6+I148*'Pesos finales'!$E$7+J148*'Pesos finales'!$E$8+'Pesos finales'!$E$12)</f>
        <v/>
      </c>
      <c r="O148" s="7">
        <f>TANH(G148*'Pesos finales'!$F$5+H148*'Pesos finales'!$F$6+I148*'Pesos finales'!$F$7+J148*'Pesos finales'!$F$8+'Pesos finales'!$F$12)</f>
        <v/>
      </c>
      <c r="P148" s="7">
        <f>TANH(G148*'Pesos finales'!$G$5+H148*'Pesos finales'!$G$6+I148*'Pesos finales'!$G$7+J148*'Pesos finales'!$G$8+'Pesos finales'!$G$12)</f>
        <v/>
      </c>
      <c r="Q148" s="7">
        <f>TANH(G148*'Pesos finales'!$H$5+H148*'Pesos finales'!$H$6+I148*'Pesos finales'!$H$7+J148*'Pesos finales'!$H$8+'Pesos finales'!$H$12)</f>
        <v/>
      </c>
      <c r="R148" s="7">
        <f>TANH(G148*'Pesos finales'!$I$5+H148*'Pesos finales'!$I$6+I148*'Pesos finales'!$I$7+J148*'Pesos finales'!$I$8+'Pesos finales'!$I$12)</f>
        <v/>
      </c>
      <c r="S148" s="7">
        <f>K148*'Pesos finales'!$B$16+L148*'Pesos finales'!$B$17+M148*'Pesos finales'!$B$18+N148*'Pesos finales'!$B$19+O148*'Pesos finales'!$B$20+P148*'Pesos finales'!$B$21+Q148*'Pesos finales'!$B$22+R148*'Pesos finales'!$B$23+'Pesos finales'!$B$27</f>
        <v/>
      </c>
      <c r="T148" s="7">
        <f>K148*'Pesos finales'!$C$16+L148*'Pesos finales'!$C$17+M148*'Pesos finales'!$C$18+N148*'Pesos finales'!$C$19+O148*'Pesos finales'!$C$20+P148*'Pesos finales'!$C$21+Q148*'Pesos finales'!$C$22+R148*'Pesos finales'!$C$23+'Pesos finales'!$C$27</f>
        <v/>
      </c>
      <c r="U148" s="7">
        <f>K148*'Pesos finales'!$D$16+L148*'Pesos finales'!$D$17+M148*'Pesos finales'!$D$18+N148*'Pesos finales'!$D$19+O148*'Pesos finales'!$D$20+P148*'Pesos finales'!$D$21+Q148*'Pesos finales'!$D$22+R148*'Pesos finales'!$D$23+'Pesos finales'!$D$27</f>
        <v/>
      </c>
      <c r="V148" s="7">
        <f>EXP(S148)/(EXP(S148)+EXP(T148)+EXP(U148))</f>
        <v/>
      </c>
      <c r="W148" s="7">
        <f>EXP(T148)/(EXP(S148)+EXP(T148)+EXP(U148))</f>
        <v/>
      </c>
      <c r="X148" s="7">
        <f>EXP(U148)/(EXP(S148)+EXP(T148)+EXP(U148))</f>
        <v/>
      </c>
      <c r="Y148">
        <f>IF(AND(V148&gt;=W148,V148&gt;=X148),"Iris-setosa",IF(AND(W148&gt;=X148),"Iris-versicolor","Iris-virginica"))</f>
        <v/>
      </c>
      <c r="Z148" t="inlineStr">
        <is>
          <t>Iris-virginica</t>
        </is>
      </c>
      <c r="AA148">
        <f>IF(Y148=Z148,"Sí","No")</f>
        <v/>
      </c>
      <c r="AB148" s="7" t="n">
        <v>1.249110255767117e-06</v>
      </c>
      <c r="AC148" s="7" t="n">
        <v>0.003112936604606257</v>
      </c>
      <c r="AD148" s="7" t="n">
        <v>0.996885814285138</v>
      </c>
      <c r="AE148" t="inlineStr">
        <is>
          <t>Iris-virginica</t>
        </is>
      </c>
      <c r="AF148" s="9">
        <f>MAX(ABS(V148-AB148),ABS(W148-AC148),ABS(X148-AD148))</f>
        <v/>
      </c>
      <c r="AG148">
        <f>IF(AND(Y148=AE148,AF148&lt;1E-9),"Sí","No")</f>
        <v/>
      </c>
    </row>
    <row r="149">
      <c r="A149" t="n">
        <v>143</v>
      </c>
      <c r="B149" t="inlineStr">
        <is>
          <t>prueba</t>
        </is>
      </c>
      <c r="C149" t="n">
        <v>5.8</v>
      </c>
      <c r="D149" t="n">
        <v>2.7</v>
      </c>
      <c r="E149" t="n">
        <v>5.1</v>
      </c>
      <c r="F149" t="n">
        <v>1.9</v>
      </c>
      <c r="G149" s="7">
        <f>(C149-'Pesos finales'!$B$31)/'Pesos finales'!$B$32</f>
        <v/>
      </c>
      <c r="H149" s="7">
        <f>(D149-'Pesos finales'!$C$31)/'Pesos finales'!$C$32</f>
        <v/>
      </c>
      <c r="I149" s="7">
        <f>(E149-'Pesos finales'!$D$31)/'Pesos finales'!$D$32</f>
        <v/>
      </c>
      <c r="J149" s="7">
        <f>(F149-'Pesos finales'!$E$31)/'Pesos finales'!$E$32</f>
        <v/>
      </c>
      <c r="K149" s="7">
        <f>TANH(G149*'Pesos finales'!$B$5+H149*'Pesos finales'!$B$6+I149*'Pesos finales'!$B$7+J149*'Pesos finales'!$B$8+'Pesos finales'!$B$12)</f>
        <v/>
      </c>
      <c r="L149" s="7">
        <f>TANH(G149*'Pesos finales'!$C$5+H149*'Pesos finales'!$C$6+I149*'Pesos finales'!$C$7+J149*'Pesos finales'!$C$8+'Pesos finales'!$C$12)</f>
        <v/>
      </c>
      <c r="M149" s="7">
        <f>TANH(G149*'Pesos finales'!$D$5+H149*'Pesos finales'!$D$6+I149*'Pesos finales'!$D$7+J149*'Pesos finales'!$D$8+'Pesos finales'!$D$12)</f>
        <v/>
      </c>
      <c r="N149" s="7">
        <f>TANH(G149*'Pesos finales'!$E$5+H149*'Pesos finales'!$E$6+I149*'Pesos finales'!$E$7+J149*'Pesos finales'!$E$8+'Pesos finales'!$E$12)</f>
        <v/>
      </c>
      <c r="O149" s="7">
        <f>TANH(G149*'Pesos finales'!$F$5+H149*'Pesos finales'!$F$6+I149*'Pesos finales'!$F$7+J149*'Pesos finales'!$F$8+'Pesos finales'!$F$12)</f>
        <v/>
      </c>
      <c r="P149" s="7">
        <f>TANH(G149*'Pesos finales'!$G$5+H149*'Pesos finales'!$G$6+I149*'Pesos finales'!$G$7+J149*'Pesos finales'!$G$8+'Pesos finales'!$G$12)</f>
        <v/>
      </c>
      <c r="Q149" s="7">
        <f>TANH(G149*'Pesos finales'!$H$5+H149*'Pesos finales'!$H$6+I149*'Pesos finales'!$H$7+J149*'Pesos finales'!$H$8+'Pesos finales'!$H$12)</f>
        <v/>
      </c>
      <c r="R149" s="7">
        <f>TANH(G149*'Pesos finales'!$I$5+H149*'Pesos finales'!$I$6+I149*'Pesos finales'!$I$7+J149*'Pesos finales'!$I$8+'Pesos finales'!$I$12)</f>
        <v/>
      </c>
      <c r="S149" s="7">
        <f>K149*'Pesos finales'!$B$16+L149*'Pesos finales'!$B$17+M149*'Pesos finales'!$B$18+N149*'Pesos finales'!$B$19+O149*'Pesos finales'!$B$20+P149*'Pesos finales'!$B$21+Q149*'Pesos finales'!$B$22+R149*'Pesos finales'!$B$23+'Pesos finales'!$B$27</f>
        <v/>
      </c>
      <c r="T149" s="7">
        <f>K149*'Pesos finales'!$C$16+L149*'Pesos finales'!$C$17+M149*'Pesos finales'!$C$18+N149*'Pesos finales'!$C$19+O149*'Pesos finales'!$C$20+P149*'Pesos finales'!$C$21+Q149*'Pesos finales'!$C$22+R149*'Pesos finales'!$C$23+'Pesos finales'!$C$27</f>
        <v/>
      </c>
      <c r="U149" s="7">
        <f>K149*'Pesos finales'!$D$16+L149*'Pesos finales'!$D$17+M149*'Pesos finales'!$D$18+N149*'Pesos finales'!$D$19+O149*'Pesos finales'!$D$20+P149*'Pesos finales'!$D$21+Q149*'Pesos finales'!$D$22+R149*'Pesos finales'!$D$23+'Pesos finales'!$D$27</f>
        <v/>
      </c>
      <c r="V149" s="7">
        <f>EXP(S149)/(EXP(S149)+EXP(T149)+EXP(U149))</f>
        <v/>
      </c>
      <c r="W149" s="7">
        <f>EXP(T149)/(EXP(S149)+EXP(T149)+EXP(U149))</f>
        <v/>
      </c>
      <c r="X149" s="7">
        <f>EXP(U149)/(EXP(S149)+EXP(T149)+EXP(U149))</f>
        <v/>
      </c>
      <c r="Y149">
        <f>IF(AND(V149&gt;=W149,V149&gt;=X149),"Iris-setosa",IF(AND(W149&gt;=X149),"Iris-versicolor","Iris-virginica"))</f>
        <v/>
      </c>
      <c r="Z149" t="inlineStr">
        <is>
          <t>Iris-virginica</t>
        </is>
      </c>
      <c r="AA149">
        <f>IF(Y149=Z149,"Sí","No")</f>
        <v/>
      </c>
      <c r="AB149" s="7" t="n">
        <v>4.351015263141934e-06</v>
      </c>
      <c r="AC149" s="7" t="n">
        <v>0.008129524029884211</v>
      </c>
      <c r="AD149" s="7" t="n">
        <v>0.9918661249548527</v>
      </c>
      <c r="AE149" t="inlineStr">
        <is>
          <t>Iris-virginica</t>
        </is>
      </c>
      <c r="AF149" s="9">
        <f>MAX(ABS(V149-AB149),ABS(W149-AC149),ABS(X149-AD149))</f>
        <v/>
      </c>
      <c r="AG149">
        <f>IF(AND(Y149=AE149,AF149&lt;1E-9),"Sí","No")</f>
        <v/>
      </c>
    </row>
    <row r="150">
      <c r="A150" t="n">
        <v>144</v>
      </c>
      <c r="B150" t="inlineStr">
        <is>
          <t>prueba</t>
        </is>
      </c>
      <c r="C150" t="n">
        <v>6.8</v>
      </c>
      <c r="D150" t="n">
        <v>3.2</v>
      </c>
      <c r="E150" t="n">
        <v>5.9</v>
      </c>
      <c r="F150" t="n">
        <v>2.3</v>
      </c>
      <c r="G150" s="7">
        <f>(C150-'Pesos finales'!$B$31)/'Pesos finales'!$B$32</f>
        <v/>
      </c>
      <c r="H150" s="7">
        <f>(D150-'Pesos finales'!$C$31)/'Pesos finales'!$C$32</f>
        <v/>
      </c>
      <c r="I150" s="7">
        <f>(E150-'Pesos finales'!$D$31)/'Pesos finales'!$D$32</f>
        <v/>
      </c>
      <c r="J150" s="7">
        <f>(F150-'Pesos finales'!$E$31)/'Pesos finales'!$E$32</f>
        <v/>
      </c>
      <c r="K150" s="7">
        <f>TANH(G150*'Pesos finales'!$B$5+H150*'Pesos finales'!$B$6+I150*'Pesos finales'!$B$7+J150*'Pesos finales'!$B$8+'Pesos finales'!$B$12)</f>
        <v/>
      </c>
      <c r="L150" s="7">
        <f>TANH(G150*'Pesos finales'!$C$5+H150*'Pesos finales'!$C$6+I150*'Pesos finales'!$C$7+J150*'Pesos finales'!$C$8+'Pesos finales'!$C$12)</f>
        <v/>
      </c>
      <c r="M150" s="7">
        <f>TANH(G150*'Pesos finales'!$D$5+H150*'Pesos finales'!$D$6+I150*'Pesos finales'!$D$7+J150*'Pesos finales'!$D$8+'Pesos finales'!$D$12)</f>
        <v/>
      </c>
      <c r="N150" s="7">
        <f>TANH(G150*'Pesos finales'!$E$5+H150*'Pesos finales'!$E$6+I150*'Pesos finales'!$E$7+J150*'Pesos finales'!$E$8+'Pesos finales'!$E$12)</f>
        <v/>
      </c>
      <c r="O150" s="7">
        <f>TANH(G150*'Pesos finales'!$F$5+H150*'Pesos finales'!$F$6+I150*'Pesos finales'!$F$7+J150*'Pesos finales'!$F$8+'Pesos finales'!$F$12)</f>
        <v/>
      </c>
      <c r="P150" s="7">
        <f>TANH(G150*'Pesos finales'!$G$5+H150*'Pesos finales'!$G$6+I150*'Pesos finales'!$G$7+J150*'Pesos finales'!$G$8+'Pesos finales'!$G$12)</f>
        <v/>
      </c>
      <c r="Q150" s="7">
        <f>TANH(G150*'Pesos finales'!$H$5+H150*'Pesos finales'!$H$6+I150*'Pesos finales'!$H$7+J150*'Pesos finales'!$H$8+'Pesos finales'!$H$12)</f>
        <v/>
      </c>
      <c r="R150" s="7">
        <f>TANH(G150*'Pesos finales'!$I$5+H150*'Pesos finales'!$I$6+I150*'Pesos finales'!$I$7+J150*'Pesos finales'!$I$8+'Pesos finales'!$I$12)</f>
        <v/>
      </c>
      <c r="S150" s="7">
        <f>K150*'Pesos finales'!$B$16+L150*'Pesos finales'!$B$17+M150*'Pesos finales'!$B$18+N150*'Pesos finales'!$B$19+O150*'Pesos finales'!$B$20+P150*'Pesos finales'!$B$21+Q150*'Pesos finales'!$B$22+R150*'Pesos finales'!$B$23+'Pesos finales'!$B$27</f>
        <v/>
      </c>
      <c r="T150" s="7">
        <f>K150*'Pesos finales'!$C$16+L150*'Pesos finales'!$C$17+M150*'Pesos finales'!$C$18+N150*'Pesos finales'!$C$19+O150*'Pesos finales'!$C$20+P150*'Pesos finales'!$C$21+Q150*'Pesos finales'!$C$22+R150*'Pesos finales'!$C$23+'Pesos finales'!$C$27</f>
        <v/>
      </c>
      <c r="U150" s="7">
        <f>K150*'Pesos finales'!$D$16+L150*'Pesos finales'!$D$17+M150*'Pesos finales'!$D$18+N150*'Pesos finales'!$D$19+O150*'Pesos finales'!$D$20+P150*'Pesos finales'!$D$21+Q150*'Pesos finales'!$D$22+R150*'Pesos finales'!$D$23+'Pesos finales'!$D$27</f>
        <v/>
      </c>
      <c r="V150" s="7">
        <f>EXP(S150)/(EXP(S150)+EXP(T150)+EXP(U150))</f>
        <v/>
      </c>
      <c r="W150" s="7">
        <f>EXP(T150)/(EXP(S150)+EXP(T150)+EXP(U150))</f>
        <v/>
      </c>
      <c r="X150" s="7">
        <f>EXP(U150)/(EXP(S150)+EXP(T150)+EXP(U150))</f>
        <v/>
      </c>
      <c r="Y150">
        <f>IF(AND(V150&gt;=W150,V150&gt;=X150),"Iris-setosa",IF(AND(W150&gt;=X150),"Iris-versicolor","Iris-virginica"))</f>
        <v/>
      </c>
      <c r="Z150" t="inlineStr">
        <is>
          <t>Iris-virginica</t>
        </is>
      </c>
      <c r="AA150">
        <f>IF(Y150=Z150,"Sí","No")</f>
        <v/>
      </c>
      <c r="AB150" s="7" t="n">
        <v>3.316252283465516e-07</v>
      </c>
      <c r="AC150" s="7" t="n">
        <v>0.0007163240134453375</v>
      </c>
      <c r="AD150" s="7" t="n">
        <v>0.9992833443613263</v>
      </c>
      <c r="AE150" t="inlineStr">
        <is>
          <t>Iris-virginica</t>
        </is>
      </c>
      <c r="AF150" s="9">
        <f>MAX(ABS(V150-AB150),ABS(W150-AC150),ABS(X150-AD150))</f>
        <v/>
      </c>
      <c r="AG150">
        <f>IF(AND(Y150=AE150,AF150&lt;1E-9),"Sí","No")</f>
        <v/>
      </c>
    </row>
    <row r="151">
      <c r="A151" t="n">
        <v>145</v>
      </c>
      <c r="B151" t="inlineStr">
        <is>
          <t>entrenamiento</t>
        </is>
      </c>
      <c r="C151" t="n">
        <v>6.7</v>
      </c>
      <c r="D151" t="n">
        <v>3.3</v>
      </c>
      <c r="E151" t="n">
        <v>5.7</v>
      </c>
      <c r="F151" t="n">
        <v>2.5</v>
      </c>
      <c r="G151" s="7">
        <f>(C151-'Pesos finales'!$B$31)/'Pesos finales'!$B$32</f>
        <v/>
      </c>
      <c r="H151" s="7">
        <f>(D151-'Pesos finales'!$C$31)/'Pesos finales'!$C$32</f>
        <v/>
      </c>
      <c r="I151" s="7">
        <f>(E151-'Pesos finales'!$D$31)/'Pesos finales'!$D$32</f>
        <v/>
      </c>
      <c r="J151" s="7">
        <f>(F151-'Pesos finales'!$E$31)/'Pesos finales'!$E$32</f>
        <v/>
      </c>
      <c r="K151" s="7">
        <f>TANH(G151*'Pesos finales'!$B$5+H151*'Pesos finales'!$B$6+I151*'Pesos finales'!$B$7+J151*'Pesos finales'!$B$8+'Pesos finales'!$B$12)</f>
        <v/>
      </c>
      <c r="L151" s="7">
        <f>TANH(G151*'Pesos finales'!$C$5+H151*'Pesos finales'!$C$6+I151*'Pesos finales'!$C$7+J151*'Pesos finales'!$C$8+'Pesos finales'!$C$12)</f>
        <v/>
      </c>
      <c r="M151" s="7">
        <f>TANH(G151*'Pesos finales'!$D$5+H151*'Pesos finales'!$D$6+I151*'Pesos finales'!$D$7+J151*'Pesos finales'!$D$8+'Pesos finales'!$D$12)</f>
        <v/>
      </c>
      <c r="N151" s="7">
        <f>TANH(G151*'Pesos finales'!$E$5+H151*'Pesos finales'!$E$6+I151*'Pesos finales'!$E$7+J151*'Pesos finales'!$E$8+'Pesos finales'!$E$12)</f>
        <v/>
      </c>
      <c r="O151" s="7">
        <f>TANH(G151*'Pesos finales'!$F$5+H151*'Pesos finales'!$F$6+I151*'Pesos finales'!$F$7+J151*'Pesos finales'!$F$8+'Pesos finales'!$F$12)</f>
        <v/>
      </c>
      <c r="P151" s="7">
        <f>TANH(G151*'Pesos finales'!$G$5+H151*'Pesos finales'!$G$6+I151*'Pesos finales'!$G$7+J151*'Pesos finales'!$G$8+'Pesos finales'!$G$12)</f>
        <v/>
      </c>
      <c r="Q151" s="7">
        <f>TANH(G151*'Pesos finales'!$H$5+H151*'Pesos finales'!$H$6+I151*'Pesos finales'!$H$7+J151*'Pesos finales'!$H$8+'Pesos finales'!$H$12)</f>
        <v/>
      </c>
      <c r="R151" s="7">
        <f>TANH(G151*'Pesos finales'!$I$5+H151*'Pesos finales'!$I$6+I151*'Pesos finales'!$I$7+J151*'Pesos finales'!$I$8+'Pesos finales'!$I$12)</f>
        <v/>
      </c>
      <c r="S151" s="7">
        <f>K151*'Pesos finales'!$B$16+L151*'Pesos finales'!$B$17+M151*'Pesos finales'!$B$18+N151*'Pesos finales'!$B$19+O151*'Pesos finales'!$B$20+P151*'Pesos finales'!$B$21+Q151*'Pesos finales'!$B$22+R151*'Pesos finales'!$B$23+'Pesos finales'!$B$27</f>
        <v/>
      </c>
      <c r="T151" s="7">
        <f>K151*'Pesos finales'!$C$16+L151*'Pesos finales'!$C$17+M151*'Pesos finales'!$C$18+N151*'Pesos finales'!$C$19+O151*'Pesos finales'!$C$20+P151*'Pesos finales'!$C$21+Q151*'Pesos finales'!$C$22+R151*'Pesos finales'!$C$23+'Pesos finales'!$C$27</f>
        <v/>
      </c>
      <c r="U151" s="7">
        <f>K151*'Pesos finales'!$D$16+L151*'Pesos finales'!$D$17+M151*'Pesos finales'!$D$18+N151*'Pesos finales'!$D$19+O151*'Pesos finales'!$D$20+P151*'Pesos finales'!$D$21+Q151*'Pesos finales'!$D$22+R151*'Pesos finales'!$D$23+'Pesos finales'!$D$27</f>
        <v/>
      </c>
      <c r="V151" s="7">
        <f>EXP(S151)/(EXP(S151)+EXP(T151)+EXP(U151))</f>
        <v/>
      </c>
      <c r="W151" s="7">
        <f>EXP(T151)/(EXP(S151)+EXP(T151)+EXP(U151))</f>
        <v/>
      </c>
      <c r="X151" s="7">
        <f>EXP(U151)/(EXP(S151)+EXP(T151)+EXP(U151))</f>
        <v/>
      </c>
      <c r="Y151">
        <f>IF(AND(V151&gt;=W151,V151&gt;=X151),"Iris-setosa",IF(AND(W151&gt;=X151),"Iris-versicolor","Iris-virginica"))</f>
        <v/>
      </c>
      <c r="Z151" t="inlineStr">
        <is>
          <t>Iris-virginica</t>
        </is>
      </c>
      <c r="AA151">
        <f>IF(Y151=Z151,"Sí","No")</f>
        <v/>
      </c>
      <c r="AB151" s="7" t="n">
        <v>2.681053759034342e-07</v>
      </c>
      <c r="AC151" s="7" t="n">
        <v>0.0005630220982580415</v>
      </c>
      <c r="AD151" s="7" t="n">
        <v>0.9994367097963661</v>
      </c>
      <c r="AE151" t="inlineStr">
        <is>
          <t>Iris-virginica</t>
        </is>
      </c>
      <c r="AF151" s="9">
        <f>MAX(ABS(V151-AB151),ABS(W151-AC151),ABS(X151-AD151))</f>
        <v/>
      </c>
      <c r="AG151">
        <f>IF(AND(Y151=AE151,AF151&lt;1E-9),"Sí","No")</f>
        <v/>
      </c>
    </row>
    <row r="152">
      <c r="A152" t="n">
        <v>146</v>
      </c>
      <c r="B152" t="inlineStr">
        <is>
          <t>entrenamiento</t>
        </is>
      </c>
      <c r="C152" t="n">
        <v>6.7</v>
      </c>
      <c r="D152" t="n">
        <v>3</v>
      </c>
      <c r="E152" t="n">
        <v>5.2</v>
      </c>
      <c r="F152" t="n">
        <v>2.3</v>
      </c>
      <c r="G152" s="7">
        <f>(C152-'Pesos finales'!$B$31)/'Pesos finales'!$B$32</f>
        <v/>
      </c>
      <c r="H152" s="7">
        <f>(D152-'Pesos finales'!$C$31)/'Pesos finales'!$C$32</f>
        <v/>
      </c>
      <c r="I152" s="7">
        <f>(E152-'Pesos finales'!$D$31)/'Pesos finales'!$D$32</f>
        <v/>
      </c>
      <c r="J152" s="7">
        <f>(F152-'Pesos finales'!$E$31)/'Pesos finales'!$E$32</f>
        <v/>
      </c>
      <c r="K152" s="7">
        <f>TANH(G152*'Pesos finales'!$B$5+H152*'Pesos finales'!$B$6+I152*'Pesos finales'!$B$7+J152*'Pesos finales'!$B$8+'Pesos finales'!$B$12)</f>
        <v/>
      </c>
      <c r="L152" s="7">
        <f>TANH(G152*'Pesos finales'!$C$5+H152*'Pesos finales'!$C$6+I152*'Pesos finales'!$C$7+J152*'Pesos finales'!$C$8+'Pesos finales'!$C$12)</f>
        <v/>
      </c>
      <c r="M152" s="7">
        <f>TANH(G152*'Pesos finales'!$D$5+H152*'Pesos finales'!$D$6+I152*'Pesos finales'!$D$7+J152*'Pesos finales'!$D$8+'Pesos finales'!$D$12)</f>
        <v/>
      </c>
      <c r="N152" s="7">
        <f>TANH(G152*'Pesos finales'!$E$5+H152*'Pesos finales'!$E$6+I152*'Pesos finales'!$E$7+J152*'Pesos finales'!$E$8+'Pesos finales'!$E$12)</f>
        <v/>
      </c>
      <c r="O152" s="7">
        <f>TANH(G152*'Pesos finales'!$F$5+H152*'Pesos finales'!$F$6+I152*'Pesos finales'!$F$7+J152*'Pesos finales'!$F$8+'Pesos finales'!$F$12)</f>
        <v/>
      </c>
      <c r="P152" s="7">
        <f>TANH(G152*'Pesos finales'!$G$5+H152*'Pesos finales'!$G$6+I152*'Pesos finales'!$G$7+J152*'Pesos finales'!$G$8+'Pesos finales'!$G$12)</f>
        <v/>
      </c>
      <c r="Q152" s="7">
        <f>TANH(G152*'Pesos finales'!$H$5+H152*'Pesos finales'!$H$6+I152*'Pesos finales'!$H$7+J152*'Pesos finales'!$H$8+'Pesos finales'!$H$12)</f>
        <v/>
      </c>
      <c r="R152" s="7">
        <f>TANH(G152*'Pesos finales'!$I$5+H152*'Pesos finales'!$I$6+I152*'Pesos finales'!$I$7+J152*'Pesos finales'!$I$8+'Pesos finales'!$I$12)</f>
        <v/>
      </c>
      <c r="S152" s="7">
        <f>K152*'Pesos finales'!$B$16+L152*'Pesos finales'!$B$17+M152*'Pesos finales'!$B$18+N152*'Pesos finales'!$B$19+O152*'Pesos finales'!$B$20+P152*'Pesos finales'!$B$21+Q152*'Pesos finales'!$B$22+R152*'Pesos finales'!$B$23+'Pesos finales'!$B$27</f>
        <v/>
      </c>
      <c r="T152" s="7">
        <f>K152*'Pesos finales'!$C$16+L152*'Pesos finales'!$C$17+M152*'Pesos finales'!$C$18+N152*'Pesos finales'!$C$19+O152*'Pesos finales'!$C$20+P152*'Pesos finales'!$C$21+Q152*'Pesos finales'!$C$22+R152*'Pesos finales'!$C$23+'Pesos finales'!$C$27</f>
        <v/>
      </c>
      <c r="U152" s="7">
        <f>K152*'Pesos finales'!$D$16+L152*'Pesos finales'!$D$17+M152*'Pesos finales'!$D$18+N152*'Pesos finales'!$D$19+O152*'Pesos finales'!$D$20+P152*'Pesos finales'!$D$21+Q152*'Pesos finales'!$D$22+R152*'Pesos finales'!$D$23+'Pesos finales'!$D$27</f>
        <v/>
      </c>
      <c r="V152" s="7">
        <f>EXP(S152)/(EXP(S152)+EXP(T152)+EXP(U152))</f>
        <v/>
      </c>
      <c r="W152" s="7">
        <f>EXP(T152)/(EXP(S152)+EXP(T152)+EXP(U152))</f>
        <v/>
      </c>
      <c r="X152" s="7">
        <f>EXP(U152)/(EXP(S152)+EXP(T152)+EXP(U152))</f>
        <v/>
      </c>
      <c r="Y152">
        <f>IF(AND(V152&gt;=W152,V152&gt;=X152),"Iris-setosa",IF(AND(W152&gt;=X152),"Iris-versicolor","Iris-virginica"))</f>
        <v/>
      </c>
      <c r="Z152" t="inlineStr">
        <is>
          <t>Iris-virginica</t>
        </is>
      </c>
      <c r="AA152">
        <f>IF(Y152=Z152,"Sí","No")</f>
        <v/>
      </c>
      <c r="AB152" s="7" t="n">
        <v>6.896255348010114e-07</v>
      </c>
      <c r="AC152" s="7" t="n">
        <v>0.001641807007411874</v>
      </c>
      <c r="AD152" s="7" t="n">
        <v>0.9983575033670533</v>
      </c>
      <c r="AE152" t="inlineStr">
        <is>
          <t>Iris-virginica</t>
        </is>
      </c>
      <c r="AF152" s="9">
        <f>MAX(ABS(V152-AB152),ABS(W152-AC152),ABS(X152-AD152))</f>
        <v/>
      </c>
      <c r="AG152">
        <f>IF(AND(Y152=AE152,AF152&lt;1E-9),"Sí","No")</f>
        <v/>
      </c>
    </row>
    <row r="153">
      <c r="A153" t="n">
        <v>147</v>
      </c>
      <c r="B153" t="inlineStr">
        <is>
          <t>prueba</t>
        </is>
      </c>
      <c r="C153" t="n">
        <v>6.3</v>
      </c>
      <c r="D153" t="n">
        <v>2.5</v>
      </c>
      <c r="E153" t="n">
        <v>5</v>
      </c>
      <c r="F153" t="n">
        <v>1.9</v>
      </c>
      <c r="G153" s="7">
        <f>(C153-'Pesos finales'!$B$31)/'Pesos finales'!$B$32</f>
        <v/>
      </c>
      <c r="H153" s="7">
        <f>(D153-'Pesos finales'!$C$31)/'Pesos finales'!$C$32</f>
        <v/>
      </c>
      <c r="I153" s="7">
        <f>(E153-'Pesos finales'!$D$31)/'Pesos finales'!$D$32</f>
        <v/>
      </c>
      <c r="J153" s="7">
        <f>(F153-'Pesos finales'!$E$31)/'Pesos finales'!$E$32</f>
        <v/>
      </c>
      <c r="K153" s="7">
        <f>TANH(G153*'Pesos finales'!$B$5+H153*'Pesos finales'!$B$6+I153*'Pesos finales'!$B$7+J153*'Pesos finales'!$B$8+'Pesos finales'!$B$12)</f>
        <v/>
      </c>
      <c r="L153" s="7">
        <f>TANH(G153*'Pesos finales'!$C$5+H153*'Pesos finales'!$C$6+I153*'Pesos finales'!$C$7+J153*'Pesos finales'!$C$8+'Pesos finales'!$C$12)</f>
        <v/>
      </c>
      <c r="M153" s="7">
        <f>TANH(G153*'Pesos finales'!$D$5+H153*'Pesos finales'!$D$6+I153*'Pesos finales'!$D$7+J153*'Pesos finales'!$D$8+'Pesos finales'!$D$12)</f>
        <v/>
      </c>
      <c r="N153" s="7">
        <f>TANH(G153*'Pesos finales'!$E$5+H153*'Pesos finales'!$E$6+I153*'Pesos finales'!$E$7+J153*'Pesos finales'!$E$8+'Pesos finales'!$E$12)</f>
        <v/>
      </c>
      <c r="O153" s="7">
        <f>TANH(G153*'Pesos finales'!$F$5+H153*'Pesos finales'!$F$6+I153*'Pesos finales'!$F$7+J153*'Pesos finales'!$F$8+'Pesos finales'!$F$12)</f>
        <v/>
      </c>
      <c r="P153" s="7">
        <f>TANH(G153*'Pesos finales'!$G$5+H153*'Pesos finales'!$G$6+I153*'Pesos finales'!$G$7+J153*'Pesos finales'!$G$8+'Pesos finales'!$G$12)</f>
        <v/>
      </c>
      <c r="Q153" s="7">
        <f>TANH(G153*'Pesos finales'!$H$5+H153*'Pesos finales'!$H$6+I153*'Pesos finales'!$H$7+J153*'Pesos finales'!$H$8+'Pesos finales'!$H$12)</f>
        <v/>
      </c>
      <c r="R153" s="7">
        <f>TANH(G153*'Pesos finales'!$I$5+H153*'Pesos finales'!$I$6+I153*'Pesos finales'!$I$7+J153*'Pesos finales'!$I$8+'Pesos finales'!$I$12)</f>
        <v/>
      </c>
      <c r="S153" s="7">
        <f>K153*'Pesos finales'!$B$16+L153*'Pesos finales'!$B$17+M153*'Pesos finales'!$B$18+N153*'Pesos finales'!$B$19+O153*'Pesos finales'!$B$20+P153*'Pesos finales'!$B$21+Q153*'Pesos finales'!$B$22+R153*'Pesos finales'!$B$23+'Pesos finales'!$B$27</f>
        <v/>
      </c>
      <c r="T153" s="7">
        <f>K153*'Pesos finales'!$C$16+L153*'Pesos finales'!$C$17+M153*'Pesos finales'!$C$18+N153*'Pesos finales'!$C$19+O153*'Pesos finales'!$C$20+P153*'Pesos finales'!$C$21+Q153*'Pesos finales'!$C$22+R153*'Pesos finales'!$C$23+'Pesos finales'!$C$27</f>
        <v/>
      </c>
      <c r="U153" s="7">
        <f>K153*'Pesos finales'!$D$16+L153*'Pesos finales'!$D$17+M153*'Pesos finales'!$D$18+N153*'Pesos finales'!$D$19+O153*'Pesos finales'!$D$20+P153*'Pesos finales'!$D$21+Q153*'Pesos finales'!$D$22+R153*'Pesos finales'!$D$23+'Pesos finales'!$D$27</f>
        <v/>
      </c>
      <c r="V153" s="7">
        <f>EXP(S153)/(EXP(S153)+EXP(T153)+EXP(U153))</f>
        <v/>
      </c>
      <c r="W153" s="7">
        <f>EXP(T153)/(EXP(S153)+EXP(T153)+EXP(U153))</f>
        <v/>
      </c>
      <c r="X153" s="7">
        <f>EXP(U153)/(EXP(S153)+EXP(T153)+EXP(U153))</f>
        <v/>
      </c>
      <c r="Y153">
        <f>IF(AND(V153&gt;=W153,V153&gt;=X153),"Iris-setosa",IF(AND(W153&gt;=X153),"Iris-versicolor","Iris-virginica"))</f>
        <v/>
      </c>
      <c r="Z153" t="inlineStr">
        <is>
          <t>Iris-virginica</t>
        </is>
      </c>
      <c r="AA153">
        <f>IF(Y153=Z153,"Sí","No")</f>
        <v/>
      </c>
      <c r="AB153" s="7" t="n">
        <v>3.651196980466671e-06</v>
      </c>
      <c r="AC153" s="7" t="n">
        <v>0.01070089729592869</v>
      </c>
      <c r="AD153" s="7" t="n">
        <v>0.9892954515070909</v>
      </c>
      <c r="AE153" t="inlineStr">
        <is>
          <t>Iris-virginica</t>
        </is>
      </c>
      <c r="AF153" s="9">
        <f>MAX(ABS(V153-AB153),ABS(W153-AC153),ABS(X153-AD153))</f>
        <v/>
      </c>
      <c r="AG153">
        <f>IF(AND(Y153=AE153,AF153&lt;1E-9),"Sí","No")</f>
        <v/>
      </c>
    </row>
    <row r="154">
      <c r="A154" t="n">
        <v>148</v>
      </c>
      <c r="B154" t="inlineStr">
        <is>
          <t>entrenamiento</t>
        </is>
      </c>
      <c r="C154" t="n">
        <v>6.5</v>
      </c>
      <c r="D154" t="n">
        <v>3</v>
      </c>
      <c r="E154" t="n">
        <v>5.2</v>
      </c>
      <c r="F154" t="n">
        <v>2</v>
      </c>
      <c r="G154" s="7">
        <f>(C154-'Pesos finales'!$B$31)/'Pesos finales'!$B$32</f>
        <v/>
      </c>
      <c r="H154" s="7">
        <f>(D154-'Pesos finales'!$C$31)/'Pesos finales'!$C$32</f>
        <v/>
      </c>
      <c r="I154" s="7">
        <f>(E154-'Pesos finales'!$D$31)/'Pesos finales'!$D$32</f>
        <v/>
      </c>
      <c r="J154" s="7">
        <f>(F154-'Pesos finales'!$E$31)/'Pesos finales'!$E$32</f>
        <v/>
      </c>
      <c r="K154" s="7">
        <f>TANH(G154*'Pesos finales'!$B$5+H154*'Pesos finales'!$B$6+I154*'Pesos finales'!$B$7+J154*'Pesos finales'!$B$8+'Pesos finales'!$B$12)</f>
        <v/>
      </c>
      <c r="L154" s="7">
        <f>TANH(G154*'Pesos finales'!$C$5+H154*'Pesos finales'!$C$6+I154*'Pesos finales'!$C$7+J154*'Pesos finales'!$C$8+'Pesos finales'!$C$12)</f>
        <v/>
      </c>
      <c r="M154" s="7">
        <f>TANH(G154*'Pesos finales'!$D$5+H154*'Pesos finales'!$D$6+I154*'Pesos finales'!$D$7+J154*'Pesos finales'!$D$8+'Pesos finales'!$D$12)</f>
        <v/>
      </c>
      <c r="N154" s="7">
        <f>TANH(G154*'Pesos finales'!$E$5+H154*'Pesos finales'!$E$6+I154*'Pesos finales'!$E$7+J154*'Pesos finales'!$E$8+'Pesos finales'!$E$12)</f>
        <v/>
      </c>
      <c r="O154" s="7">
        <f>TANH(G154*'Pesos finales'!$F$5+H154*'Pesos finales'!$F$6+I154*'Pesos finales'!$F$7+J154*'Pesos finales'!$F$8+'Pesos finales'!$F$12)</f>
        <v/>
      </c>
      <c r="P154" s="7">
        <f>TANH(G154*'Pesos finales'!$G$5+H154*'Pesos finales'!$G$6+I154*'Pesos finales'!$G$7+J154*'Pesos finales'!$G$8+'Pesos finales'!$G$12)</f>
        <v/>
      </c>
      <c r="Q154" s="7">
        <f>TANH(G154*'Pesos finales'!$H$5+H154*'Pesos finales'!$H$6+I154*'Pesos finales'!$H$7+J154*'Pesos finales'!$H$8+'Pesos finales'!$H$12)</f>
        <v/>
      </c>
      <c r="R154" s="7">
        <f>TANH(G154*'Pesos finales'!$I$5+H154*'Pesos finales'!$I$6+I154*'Pesos finales'!$I$7+J154*'Pesos finales'!$I$8+'Pesos finales'!$I$12)</f>
        <v/>
      </c>
      <c r="S154" s="7">
        <f>K154*'Pesos finales'!$B$16+L154*'Pesos finales'!$B$17+M154*'Pesos finales'!$B$18+N154*'Pesos finales'!$B$19+O154*'Pesos finales'!$B$20+P154*'Pesos finales'!$B$21+Q154*'Pesos finales'!$B$22+R154*'Pesos finales'!$B$23+'Pesos finales'!$B$27</f>
        <v/>
      </c>
      <c r="T154" s="7">
        <f>K154*'Pesos finales'!$C$16+L154*'Pesos finales'!$C$17+M154*'Pesos finales'!$C$18+N154*'Pesos finales'!$C$19+O154*'Pesos finales'!$C$20+P154*'Pesos finales'!$C$21+Q154*'Pesos finales'!$C$22+R154*'Pesos finales'!$C$23+'Pesos finales'!$C$27</f>
        <v/>
      </c>
      <c r="U154" s="7">
        <f>K154*'Pesos finales'!$D$16+L154*'Pesos finales'!$D$17+M154*'Pesos finales'!$D$18+N154*'Pesos finales'!$D$19+O154*'Pesos finales'!$D$20+P154*'Pesos finales'!$D$21+Q154*'Pesos finales'!$D$22+R154*'Pesos finales'!$D$23+'Pesos finales'!$D$27</f>
        <v/>
      </c>
      <c r="V154" s="7">
        <f>EXP(S154)/(EXP(S154)+EXP(T154)+EXP(U154))</f>
        <v/>
      </c>
      <c r="W154" s="7">
        <f>EXP(T154)/(EXP(S154)+EXP(T154)+EXP(U154))</f>
        <v/>
      </c>
      <c r="X154" s="7">
        <f>EXP(U154)/(EXP(S154)+EXP(T154)+EXP(U154))</f>
        <v/>
      </c>
      <c r="Y154">
        <f>IF(AND(V154&gt;=W154,V154&gt;=X154),"Iris-setosa",IF(AND(W154&gt;=X154),"Iris-versicolor","Iris-virginica"))</f>
        <v/>
      </c>
      <c r="Z154" t="inlineStr">
        <is>
          <t>Iris-virginica</t>
        </is>
      </c>
      <c r="AA154">
        <f>IF(Y154=Z154,"Sí","No")</f>
        <v/>
      </c>
      <c r="AB154" s="7" t="n">
        <v>5.419776471966925e-06</v>
      </c>
      <c r="AC154" s="7" t="n">
        <v>0.01187191163275719</v>
      </c>
      <c r="AD154" s="7" t="n">
        <v>0.9881226685907708</v>
      </c>
      <c r="AE154" t="inlineStr">
        <is>
          <t>Iris-virginica</t>
        </is>
      </c>
      <c r="AF154" s="9">
        <f>MAX(ABS(V154-AB154),ABS(W154-AC154),ABS(X154-AD154))</f>
        <v/>
      </c>
      <c r="AG154">
        <f>IF(AND(Y154=AE154,AF154&lt;1E-9),"Sí","No")</f>
        <v/>
      </c>
    </row>
    <row r="155">
      <c r="A155" t="n">
        <v>149</v>
      </c>
      <c r="B155" t="inlineStr">
        <is>
          <t>entrenamiento</t>
        </is>
      </c>
      <c r="C155" t="n">
        <v>6.2</v>
      </c>
      <c r="D155" t="n">
        <v>3.4</v>
      </c>
      <c r="E155" t="n">
        <v>5.4</v>
      </c>
      <c r="F155" t="n">
        <v>2.3</v>
      </c>
      <c r="G155" s="7">
        <f>(C155-'Pesos finales'!$B$31)/'Pesos finales'!$B$32</f>
        <v/>
      </c>
      <c r="H155" s="7">
        <f>(D155-'Pesos finales'!$C$31)/'Pesos finales'!$C$32</f>
        <v/>
      </c>
      <c r="I155" s="7">
        <f>(E155-'Pesos finales'!$D$31)/'Pesos finales'!$D$32</f>
        <v/>
      </c>
      <c r="J155" s="7">
        <f>(F155-'Pesos finales'!$E$31)/'Pesos finales'!$E$32</f>
        <v/>
      </c>
      <c r="K155" s="7">
        <f>TANH(G155*'Pesos finales'!$B$5+H155*'Pesos finales'!$B$6+I155*'Pesos finales'!$B$7+J155*'Pesos finales'!$B$8+'Pesos finales'!$B$12)</f>
        <v/>
      </c>
      <c r="L155" s="7">
        <f>TANH(G155*'Pesos finales'!$C$5+H155*'Pesos finales'!$C$6+I155*'Pesos finales'!$C$7+J155*'Pesos finales'!$C$8+'Pesos finales'!$C$12)</f>
        <v/>
      </c>
      <c r="M155" s="7">
        <f>TANH(G155*'Pesos finales'!$D$5+H155*'Pesos finales'!$D$6+I155*'Pesos finales'!$D$7+J155*'Pesos finales'!$D$8+'Pesos finales'!$D$12)</f>
        <v/>
      </c>
      <c r="N155" s="7">
        <f>TANH(G155*'Pesos finales'!$E$5+H155*'Pesos finales'!$E$6+I155*'Pesos finales'!$E$7+J155*'Pesos finales'!$E$8+'Pesos finales'!$E$12)</f>
        <v/>
      </c>
      <c r="O155" s="7">
        <f>TANH(G155*'Pesos finales'!$F$5+H155*'Pesos finales'!$F$6+I155*'Pesos finales'!$F$7+J155*'Pesos finales'!$F$8+'Pesos finales'!$F$12)</f>
        <v/>
      </c>
      <c r="P155" s="7">
        <f>TANH(G155*'Pesos finales'!$G$5+H155*'Pesos finales'!$G$6+I155*'Pesos finales'!$G$7+J155*'Pesos finales'!$G$8+'Pesos finales'!$G$12)</f>
        <v/>
      </c>
      <c r="Q155" s="7">
        <f>TANH(G155*'Pesos finales'!$H$5+H155*'Pesos finales'!$H$6+I155*'Pesos finales'!$H$7+J155*'Pesos finales'!$H$8+'Pesos finales'!$H$12)</f>
        <v/>
      </c>
      <c r="R155" s="7">
        <f>TANH(G155*'Pesos finales'!$I$5+H155*'Pesos finales'!$I$6+I155*'Pesos finales'!$I$7+J155*'Pesos finales'!$I$8+'Pesos finales'!$I$12)</f>
        <v/>
      </c>
      <c r="S155" s="7">
        <f>K155*'Pesos finales'!$B$16+L155*'Pesos finales'!$B$17+M155*'Pesos finales'!$B$18+N155*'Pesos finales'!$B$19+O155*'Pesos finales'!$B$20+P155*'Pesos finales'!$B$21+Q155*'Pesos finales'!$B$22+R155*'Pesos finales'!$B$23+'Pesos finales'!$B$27</f>
        <v/>
      </c>
      <c r="T155" s="7">
        <f>K155*'Pesos finales'!$C$16+L155*'Pesos finales'!$C$17+M155*'Pesos finales'!$C$18+N155*'Pesos finales'!$C$19+O155*'Pesos finales'!$C$20+P155*'Pesos finales'!$C$21+Q155*'Pesos finales'!$C$22+R155*'Pesos finales'!$C$23+'Pesos finales'!$C$27</f>
        <v/>
      </c>
      <c r="U155" s="7">
        <f>K155*'Pesos finales'!$D$16+L155*'Pesos finales'!$D$17+M155*'Pesos finales'!$D$18+N155*'Pesos finales'!$D$19+O155*'Pesos finales'!$D$20+P155*'Pesos finales'!$D$21+Q155*'Pesos finales'!$D$22+R155*'Pesos finales'!$D$23+'Pesos finales'!$D$27</f>
        <v/>
      </c>
      <c r="V155" s="7">
        <f>EXP(S155)/(EXP(S155)+EXP(T155)+EXP(U155))</f>
        <v/>
      </c>
      <c r="W155" s="7">
        <f>EXP(T155)/(EXP(S155)+EXP(T155)+EXP(U155))</f>
        <v/>
      </c>
      <c r="X155" s="7">
        <f>EXP(U155)/(EXP(S155)+EXP(T155)+EXP(U155))</f>
        <v/>
      </c>
      <c r="Y155">
        <f>IF(AND(V155&gt;=W155,V155&gt;=X155),"Iris-setosa",IF(AND(W155&gt;=X155),"Iris-versicolor","Iris-virginica"))</f>
        <v/>
      </c>
      <c r="Z155" t="inlineStr">
        <is>
          <t>Iris-virginica</t>
        </is>
      </c>
      <c r="AA155">
        <f>IF(Y155=Z155,"Sí","No")</f>
        <v/>
      </c>
      <c r="AB155" s="7" t="n">
        <v>2.145287998065396e-06</v>
      </c>
      <c r="AC155" s="7" t="n">
        <v>0.002933805384159009</v>
      </c>
      <c r="AD155" s="7" t="n">
        <v>0.997064049327843</v>
      </c>
      <c r="AE155" t="inlineStr">
        <is>
          <t>Iris-virginica</t>
        </is>
      </c>
      <c r="AF155" s="9">
        <f>MAX(ABS(V155-AB155),ABS(W155-AC155),ABS(X155-AD155))</f>
        <v/>
      </c>
      <c r="AG155">
        <f>IF(AND(Y155=AE155,AF155&lt;1E-9),"Sí","No")</f>
        <v/>
      </c>
    </row>
    <row r="156">
      <c r="A156" t="n">
        <v>150</v>
      </c>
      <c r="B156" t="inlineStr">
        <is>
          <t>entrenamiento</t>
        </is>
      </c>
      <c r="C156" t="n">
        <v>5.9</v>
      </c>
      <c r="D156" t="n">
        <v>3</v>
      </c>
      <c r="E156" t="n">
        <v>5.1</v>
      </c>
      <c r="F156" t="n">
        <v>1.8</v>
      </c>
      <c r="G156" s="7">
        <f>(C156-'Pesos finales'!$B$31)/'Pesos finales'!$B$32</f>
        <v/>
      </c>
      <c r="H156" s="7">
        <f>(D156-'Pesos finales'!$C$31)/'Pesos finales'!$C$32</f>
        <v/>
      </c>
      <c r="I156" s="7">
        <f>(E156-'Pesos finales'!$D$31)/'Pesos finales'!$D$32</f>
        <v/>
      </c>
      <c r="J156" s="7">
        <f>(F156-'Pesos finales'!$E$31)/'Pesos finales'!$E$32</f>
        <v/>
      </c>
      <c r="K156" s="7">
        <f>TANH(G156*'Pesos finales'!$B$5+H156*'Pesos finales'!$B$6+I156*'Pesos finales'!$B$7+J156*'Pesos finales'!$B$8+'Pesos finales'!$B$12)</f>
        <v/>
      </c>
      <c r="L156" s="7">
        <f>TANH(G156*'Pesos finales'!$C$5+H156*'Pesos finales'!$C$6+I156*'Pesos finales'!$C$7+J156*'Pesos finales'!$C$8+'Pesos finales'!$C$12)</f>
        <v/>
      </c>
      <c r="M156" s="7">
        <f>TANH(G156*'Pesos finales'!$D$5+H156*'Pesos finales'!$D$6+I156*'Pesos finales'!$D$7+J156*'Pesos finales'!$D$8+'Pesos finales'!$D$12)</f>
        <v/>
      </c>
      <c r="N156" s="7">
        <f>TANH(G156*'Pesos finales'!$E$5+H156*'Pesos finales'!$E$6+I156*'Pesos finales'!$E$7+J156*'Pesos finales'!$E$8+'Pesos finales'!$E$12)</f>
        <v/>
      </c>
      <c r="O156" s="7">
        <f>TANH(G156*'Pesos finales'!$F$5+H156*'Pesos finales'!$F$6+I156*'Pesos finales'!$F$7+J156*'Pesos finales'!$F$8+'Pesos finales'!$F$12)</f>
        <v/>
      </c>
      <c r="P156" s="7">
        <f>TANH(G156*'Pesos finales'!$G$5+H156*'Pesos finales'!$G$6+I156*'Pesos finales'!$G$7+J156*'Pesos finales'!$G$8+'Pesos finales'!$G$12)</f>
        <v/>
      </c>
      <c r="Q156" s="7">
        <f>TANH(G156*'Pesos finales'!$H$5+H156*'Pesos finales'!$H$6+I156*'Pesos finales'!$H$7+J156*'Pesos finales'!$H$8+'Pesos finales'!$H$12)</f>
        <v/>
      </c>
      <c r="R156" s="7">
        <f>TANH(G156*'Pesos finales'!$I$5+H156*'Pesos finales'!$I$6+I156*'Pesos finales'!$I$7+J156*'Pesos finales'!$I$8+'Pesos finales'!$I$12)</f>
        <v/>
      </c>
      <c r="S156" s="7">
        <f>K156*'Pesos finales'!$B$16+L156*'Pesos finales'!$B$17+M156*'Pesos finales'!$B$18+N156*'Pesos finales'!$B$19+O156*'Pesos finales'!$B$20+P156*'Pesos finales'!$B$21+Q156*'Pesos finales'!$B$22+R156*'Pesos finales'!$B$23+'Pesos finales'!$B$27</f>
        <v/>
      </c>
      <c r="T156" s="7">
        <f>K156*'Pesos finales'!$C$16+L156*'Pesos finales'!$C$17+M156*'Pesos finales'!$C$18+N156*'Pesos finales'!$C$19+O156*'Pesos finales'!$C$20+P156*'Pesos finales'!$C$21+Q156*'Pesos finales'!$C$22+R156*'Pesos finales'!$C$23+'Pesos finales'!$C$27</f>
        <v/>
      </c>
      <c r="U156" s="7">
        <f>K156*'Pesos finales'!$D$16+L156*'Pesos finales'!$D$17+M156*'Pesos finales'!$D$18+N156*'Pesos finales'!$D$19+O156*'Pesos finales'!$D$20+P156*'Pesos finales'!$D$21+Q156*'Pesos finales'!$D$22+R156*'Pesos finales'!$D$23+'Pesos finales'!$D$27</f>
        <v/>
      </c>
      <c r="V156" s="7">
        <f>EXP(S156)/(EXP(S156)+EXP(T156)+EXP(U156))</f>
        <v/>
      </c>
      <c r="W156" s="7">
        <f>EXP(T156)/(EXP(S156)+EXP(T156)+EXP(U156))</f>
        <v/>
      </c>
      <c r="X156" s="7">
        <f>EXP(U156)/(EXP(S156)+EXP(T156)+EXP(U156))</f>
        <v/>
      </c>
      <c r="Y156">
        <f>IF(AND(V156&gt;=W156,V156&gt;=X156),"Iris-setosa",IF(AND(W156&gt;=X156),"Iris-versicolor","Iris-virginica"))</f>
        <v/>
      </c>
      <c r="Z156" t="inlineStr">
        <is>
          <t>Iris-virginica</t>
        </is>
      </c>
      <c r="AA156">
        <f>IF(Y156=Z156,"Sí","No")</f>
        <v/>
      </c>
      <c r="AB156" s="7" t="n">
        <v>6.509373555352456e-05</v>
      </c>
      <c r="AC156" s="7" t="n">
        <v>0.08579118445675846</v>
      </c>
      <c r="AD156" s="7" t="n">
        <v>0.9141437218076881</v>
      </c>
      <c r="AE156" t="inlineStr">
        <is>
          <t>Iris-virginica</t>
        </is>
      </c>
      <c r="AF156" s="9">
        <f>MAX(ABS(V156-AB156),ABS(W156-AC156),ABS(X156-AD156))</f>
        <v/>
      </c>
      <c r="AG156">
        <f>IF(AND(Y156=AE156,AF156&lt;1E-9),"Sí","No")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4" customWidth="1" min="2" max="2"/>
  </cols>
  <sheetData>
    <row r="1">
      <c r="A1" s="6" t="inlineStr">
        <is>
          <t>Época</t>
        </is>
      </c>
      <c r="B1" s="6" t="inlineStr">
        <is>
          <t>Pérdida</t>
        </is>
      </c>
    </row>
    <row r="2">
      <c r="A2" t="n">
        <v>1</v>
      </c>
      <c r="B2" s="7" t="n">
        <v>1.683924858611625</v>
      </c>
    </row>
    <row r="3">
      <c r="A3" t="n">
        <v>100</v>
      </c>
      <c r="B3" s="7" t="n">
        <v>0.2612972783039563</v>
      </c>
    </row>
    <row r="4">
      <c r="A4" t="n">
        <v>200</v>
      </c>
      <c r="B4" s="7" t="n">
        <v>0.151613198367763</v>
      </c>
    </row>
    <row r="5">
      <c r="A5" t="n">
        <v>300</v>
      </c>
      <c r="B5" s="7" t="n">
        <v>0.1079352340835965</v>
      </c>
    </row>
    <row r="6">
      <c r="A6" t="n">
        <v>400</v>
      </c>
      <c r="B6" s="7" t="n">
        <v>0.08804831352733571</v>
      </c>
    </row>
    <row r="7">
      <c r="A7" t="n">
        <v>500</v>
      </c>
      <c r="B7" s="7" t="n">
        <v>0.07731817432949652</v>
      </c>
    </row>
    <row r="8">
      <c r="A8" t="n">
        <v>600</v>
      </c>
      <c r="B8" s="7" t="n">
        <v>0.0707210783123247</v>
      </c>
    </row>
    <row r="9">
      <c r="A9" t="n">
        <v>700</v>
      </c>
      <c r="B9" s="7" t="n">
        <v>0.06627797500852288</v>
      </c>
    </row>
    <row r="10">
      <c r="A10" t="n">
        <v>800</v>
      </c>
      <c r="B10" s="7" t="n">
        <v>0.06308771468769207</v>
      </c>
    </row>
    <row r="11">
      <c r="A11" t="n">
        <v>900</v>
      </c>
      <c r="B11" s="7" t="n">
        <v>0.06068889495707911</v>
      </c>
    </row>
    <row r="12">
      <c r="A12" t="n">
        <v>1000</v>
      </c>
      <c r="B12" s="7" t="n">
        <v>0.05882232252180242</v>
      </c>
    </row>
    <row r="13">
      <c r="A13" t="n">
        <v>1100</v>
      </c>
      <c r="B13" s="7" t="n">
        <v>0.05733126758031701</v>
      </c>
    </row>
    <row r="14">
      <c r="A14" t="n">
        <v>1200</v>
      </c>
      <c r="B14" s="7" t="n">
        <v>0.05611520265788941</v>
      </c>
    </row>
    <row r="15">
      <c r="A15" t="n">
        <v>1300</v>
      </c>
      <c r="B15" s="7" t="n">
        <v>0.05510651050536627</v>
      </c>
    </row>
    <row r="16">
      <c r="A16" t="n">
        <v>1400</v>
      </c>
      <c r="B16" s="7" t="n">
        <v>0.05425792203763184</v>
      </c>
    </row>
    <row r="17">
      <c r="A17" t="n">
        <v>1500</v>
      </c>
      <c r="B17" s="7" t="n">
        <v>0.05353533471907997</v>
      </c>
    </row>
    <row r="18">
      <c r="A18" t="n">
        <v>1600</v>
      </c>
      <c r="B18" s="7" t="n">
        <v>0.05291349705677105</v>
      </c>
    </row>
    <row r="19">
      <c r="A19" t="n">
        <v>1700</v>
      </c>
      <c r="B19" s="7" t="n">
        <v>0.0523733017728666</v>
      </c>
    </row>
    <row r="20">
      <c r="A20" t="n">
        <v>1800</v>
      </c>
      <c r="B20" s="7" t="n">
        <v>0.05190002406624505</v>
      </c>
    </row>
    <row r="21">
      <c r="A21" t="n">
        <v>1900</v>
      </c>
      <c r="B21" s="7" t="n">
        <v>0.05148213783945656</v>
      </c>
    </row>
    <row r="22">
      <c r="A22" t="n">
        <v>2000</v>
      </c>
      <c r="B22" s="7" t="n">
        <v>0.05111049810274183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2026-10-21T05:49:23Z</dcterms:created>
  <dcterms:modified xsi:type="dcterms:W3CDTF">2026-10-21T05:49:23Z</dcterms:modified>
</cp:coreProperties>
</file>